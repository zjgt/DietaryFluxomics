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sunengfu/Desktop/New_Research/Writing/Flux_Manuscript2/Supplemental_Tables_Revised/"/>
    </mc:Choice>
  </mc:AlternateContent>
  <xr:revisionPtr revIDLastSave="0" documentId="13_ncr:1_{3192754E-302D-AA48-BEBD-C7436ABE307E}" xr6:coauthVersionLast="47" xr6:coauthVersionMax="47" xr10:uidLastSave="{00000000-0000-0000-0000-000000000000}"/>
  <bookViews>
    <workbookView xWindow="0" yWindow="2240" windowWidth="26240" windowHeight="13520" activeTab="2" xr2:uid="{00000000-000D-0000-FFFF-FFFF00000000}"/>
  </bookViews>
  <sheets>
    <sheet name="final result" sheetId="1" r:id="rId1"/>
    <sheet name="percentage" sheetId="2" r:id="rId2"/>
    <sheet name="sample_inf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7" i="2" l="1"/>
  <c r="S107" i="2"/>
  <c r="T107" i="2"/>
  <c r="U107" i="2"/>
  <c r="R108" i="2"/>
  <c r="S108" i="2"/>
  <c r="T108" i="2"/>
  <c r="U108" i="2"/>
  <c r="R109" i="2"/>
  <c r="S109" i="2"/>
  <c r="T109" i="2"/>
  <c r="U109" i="2"/>
  <c r="R110" i="2"/>
  <c r="S110" i="2"/>
  <c r="T110" i="2"/>
  <c r="U110" i="2"/>
  <c r="R111" i="2"/>
  <c r="S111" i="2"/>
  <c r="T111" i="2"/>
  <c r="U111" i="2"/>
  <c r="R112" i="2"/>
  <c r="S112" i="2"/>
  <c r="T112" i="2"/>
  <c r="U112" i="2"/>
  <c r="U106" i="2"/>
  <c r="T106" i="2"/>
  <c r="S106" i="2"/>
  <c r="R106" i="2"/>
  <c r="H5" i="2"/>
  <c r="H7" i="2"/>
  <c r="H8" i="2"/>
  <c r="H9" i="2"/>
  <c r="H10" i="2"/>
  <c r="H14" i="2"/>
  <c r="H17" i="2"/>
  <c r="H19" i="2"/>
  <c r="H21" i="2"/>
  <c r="H22" i="2"/>
  <c r="H24" i="2"/>
  <c r="H26" i="2"/>
  <c r="H27" i="2"/>
  <c r="H28" i="2"/>
  <c r="H29" i="2"/>
  <c r="H30" i="2"/>
  <c r="H31" i="2"/>
  <c r="H32" i="2"/>
  <c r="H34" i="2"/>
  <c r="H35" i="2"/>
  <c r="H36" i="2"/>
  <c r="H37" i="2"/>
  <c r="H38" i="2"/>
  <c r="H41" i="2"/>
  <c r="H42" i="2"/>
  <c r="H43" i="2"/>
  <c r="H45" i="2"/>
  <c r="H46" i="2"/>
  <c r="H47" i="2"/>
  <c r="H48" i="2"/>
  <c r="H49" i="2"/>
  <c r="H53" i="2"/>
  <c r="H54" i="2"/>
  <c r="H55" i="2"/>
  <c r="H56" i="2"/>
  <c r="H57" i="2"/>
  <c r="H58" i="2"/>
  <c r="H59" i="2"/>
  <c r="H65" i="2"/>
  <c r="H66" i="2"/>
  <c r="H67" i="2"/>
  <c r="H68" i="2"/>
  <c r="H70" i="2"/>
  <c r="H77" i="2"/>
  <c r="H78" i="2"/>
  <c r="H79" i="2"/>
  <c r="H80" i="2"/>
  <c r="H83" i="2"/>
  <c r="H84" i="2"/>
  <c r="H85" i="2"/>
  <c r="H86" i="2"/>
  <c r="H87" i="2"/>
  <c r="H88" i="2"/>
  <c r="H89" i="2"/>
  <c r="H90" i="2"/>
  <c r="H106" i="2"/>
  <c r="H107" i="2"/>
  <c r="H108" i="2"/>
  <c r="H109" i="2"/>
  <c r="H110" i="2"/>
  <c r="H111" i="2"/>
  <c r="H125" i="2"/>
  <c r="H127" i="2"/>
  <c r="H128" i="2"/>
  <c r="H130" i="2"/>
  <c r="H136" i="2"/>
  <c r="H137" i="2"/>
  <c r="H139" i="2"/>
  <c r="H153" i="2"/>
  <c r="H154" i="2"/>
  <c r="H165" i="2"/>
  <c r="H166" i="2"/>
  <c r="H167" i="2"/>
  <c r="H168" i="2"/>
  <c r="H169" i="2"/>
  <c r="H170" i="2"/>
  <c r="H171" i="2"/>
  <c r="H173" i="2"/>
  <c r="H176" i="2"/>
  <c r="H179" i="2"/>
  <c r="H181" i="2"/>
  <c r="H182" i="2"/>
  <c r="H183" i="2"/>
  <c r="H187" i="2"/>
  <c r="H189" i="2"/>
  <c r="H199" i="2"/>
  <c r="H200" i="2"/>
  <c r="H205" i="2"/>
  <c r="H207" i="2"/>
  <c r="H209" i="2"/>
  <c r="H212" i="2"/>
  <c r="H213" i="2"/>
  <c r="H215" i="2"/>
  <c r="H216" i="2"/>
  <c r="H217" i="2"/>
  <c r="H218" i="2"/>
  <c r="H219" i="2"/>
  <c r="H220" i="2"/>
  <c r="H222" i="2"/>
  <c r="H223" i="2"/>
  <c r="H224" i="2"/>
  <c r="H225" i="2"/>
  <c r="H226" i="2"/>
  <c r="H229" i="2"/>
  <c r="H230" i="2"/>
  <c r="H231" i="2"/>
  <c r="H232" i="2"/>
  <c r="H246" i="2"/>
  <c r="H247" i="2"/>
  <c r="H248" i="2"/>
  <c r="H249" i="2"/>
  <c r="H250" i="2"/>
  <c r="H251" i="2"/>
  <c r="H258" i="2"/>
  <c r="H259" i="2"/>
  <c r="H260" i="2"/>
  <c r="H266" i="2"/>
  <c r="H267" i="2"/>
  <c r="H268" i="2"/>
  <c r="H269" i="2"/>
  <c r="H271" i="2"/>
  <c r="H272" i="2"/>
  <c r="H273" i="2"/>
  <c r="H274" i="2"/>
  <c r="H277" i="2"/>
  <c r="H278" i="2"/>
  <c r="H279" i="2"/>
  <c r="H280" i="2"/>
  <c r="H281" i="2"/>
  <c r="H282" i="2"/>
  <c r="H283" i="2"/>
  <c r="H289" i="2"/>
  <c r="H290" i="2"/>
  <c r="H291" i="2"/>
  <c r="H292" i="2"/>
  <c r="H293" i="2"/>
  <c r="H294" i="2"/>
  <c r="H295" i="2"/>
  <c r="H296" i="2"/>
  <c r="H297" i="2"/>
  <c r="H313" i="2"/>
  <c r="H314" i="2"/>
  <c r="H315" i="2"/>
  <c r="H316" i="2"/>
  <c r="H317" i="2"/>
  <c r="H318" i="2"/>
  <c r="H319" i="2"/>
  <c r="H325" i="2"/>
  <c r="H327" i="2"/>
  <c r="H328" i="2"/>
  <c r="H330" i="2"/>
  <c r="H333" i="2"/>
  <c r="H344" i="2"/>
  <c r="H345" i="2"/>
  <c r="H346" i="2"/>
  <c r="H347" i="2"/>
  <c r="H350" i="2"/>
  <c r="H351" i="2"/>
  <c r="H352" i="2"/>
  <c r="H353" i="2"/>
  <c r="H354" i="2"/>
  <c r="H355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89" i="2"/>
  <c r="H390" i="2"/>
  <c r="H391" i="2"/>
  <c r="H392" i="2"/>
  <c r="H393" i="2"/>
  <c r="H394" i="2"/>
  <c r="H395" i="2"/>
  <c r="H396" i="2"/>
  <c r="O394" i="2"/>
  <c r="O393" i="2"/>
  <c r="O392" i="2"/>
  <c r="O391" i="2"/>
  <c r="O390" i="2"/>
  <c r="O389" i="2"/>
  <c r="O367" i="2"/>
  <c r="O366" i="2"/>
  <c r="O365" i="2"/>
  <c r="O364" i="2"/>
  <c r="O352" i="2"/>
  <c r="O351" i="2"/>
  <c r="O350" i="2"/>
  <c r="O349" i="2"/>
  <c r="O347" i="2"/>
  <c r="O346" i="2"/>
  <c r="O345" i="2"/>
  <c r="O344" i="2"/>
  <c r="O327" i="2"/>
  <c r="O325" i="2"/>
  <c r="O317" i="2"/>
  <c r="O316" i="2"/>
  <c r="O315" i="2"/>
  <c r="O314" i="2"/>
  <c r="O313" i="2"/>
  <c r="O293" i="2"/>
  <c r="O292" i="2"/>
  <c r="O291" i="2"/>
  <c r="O290" i="2"/>
  <c r="O279" i="2"/>
  <c r="O278" i="2"/>
  <c r="O277" i="2"/>
  <c r="O258" i="2"/>
  <c r="O247" i="2"/>
  <c r="O246" i="2"/>
  <c r="O231" i="2"/>
  <c r="O229" i="2"/>
  <c r="O227" i="2"/>
  <c r="O226" i="2"/>
  <c r="O225" i="2"/>
  <c r="O224" i="2"/>
  <c r="O223" i="2"/>
  <c r="O222" i="2"/>
  <c r="O220" i="2"/>
  <c r="O219" i="2"/>
  <c r="O215" i="2"/>
  <c r="O209" i="2"/>
  <c r="O200" i="2"/>
  <c r="O199" i="2"/>
  <c r="O189" i="2"/>
  <c r="O188" i="2"/>
  <c r="O185" i="2"/>
  <c r="O181" i="2"/>
  <c r="O165" i="2"/>
  <c r="O154" i="2"/>
  <c r="O153" i="2"/>
  <c r="O136" i="2"/>
  <c r="O130" i="2"/>
  <c r="O129" i="2"/>
  <c r="O128" i="2"/>
  <c r="O127" i="2"/>
  <c r="O125" i="2"/>
  <c r="O112" i="2"/>
  <c r="O111" i="2"/>
  <c r="O110" i="2"/>
  <c r="O109" i="2"/>
  <c r="O108" i="2"/>
  <c r="O107" i="2"/>
  <c r="O106" i="2"/>
  <c r="O89" i="2"/>
  <c r="O88" i="2"/>
  <c r="O87" i="2"/>
  <c r="O86" i="2"/>
  <c r="O85" i="2"/>
  <c r="O83" i="2"/>
  <c r="O81" i="2"/>
  <c r="O80" i="2"/>
  <c r="O79" i="2"/>
  <c r="O78" i="2"/>
  <c r="O77" i="2"/>
  <c r="O69" i="2"/>
  <c r="O68" i="2"/>
  <c r="O67" i="2"/>
  <c r="O66" i="2"/>
  <c r="O65" i="2"/>
  <c r="O57" i="2"/>
  <c r="O56" i="2"/>
  <c r="O55" i="2"/>
  <c r="O54" i="2"/>
  <c r="O53" i="2"/>
  <c r="O50" i="2"/>
  <c r="O49" i="2"/>
  <c r="O48" i="2"/>
  <c r="O47" i="2"/>
  <c r="O46" i="2"/>
  <c r="O45" i="2"/>
  <c r="O43" i="2"/>
  <c r="O41" i="2"/>
  <c r="O39" i="2"/>
  <c r="O38" i="2"/>
  <c r="O37" i="2"/>
  <c r="O36" i="2"/>
  <c r="O35" i="2"/>
  <c r="O34" i="2"/>
  <c r="O15" i="2"/>
  <c r="O14" i="2"/>
  <c r="O12" i="2"/>
  <c r="O11" i="2"/>
  <c r="O10" i="2"/>
  <c r="O9" i="2"/>
  <c r="O8" i="2"/>
  <c r="O7" i="2"/>
  <c r="H2" i="2"/>
</calcChain>
</file>

<file path=xl/sharedStrings.xml><?xml version="1.0" encoding="utf-8"?>
<sst xmlns="http://schemas.openxmlformats.org/spreadsheetml/2006/main" count="1327" uniqueCount="397">
  <si>
    <t>Compound</t>
  </si>
  <si>
    <t>CON-1ul</t>
  </si>
  <si>
    <t>M-1ul-H1-GLC-D1</t>
  </si>
  <si>
    <t>M-1ul-H1-GLC-D2</t>
  </si>
  <si>
    <t>M-1ul-H1-GLC-D3</t>
  </si>
  <si>
    <t>M-1ul-H1-GLC-F1</t>
  </si>
  <si>
    <t>M-1ul-H1-GLC-F2</t>
  </si>
  <si>
    <t>M-1ul-H1-GLC-F3</t>
  </si>
  <si>
    <t>M-1ul-H1-GLN-D1</t>
  </si>
  <si>
    <t>M-1ul-H1-GLN-D2</t>
  </si>
  <si>
    <t>M-1ul-H1-GLN-D3</t>
  </si>
  <si>
    <t>M-1ul-H1-GLN-F1</t>
  </si>
  <si>
    <t>M-1ul-H1-GLN-F2</t>
  </si>
  <si>
    <t>M-1ul-H1-GLN-F3</t>
  </si>
  <si>
    <t>QC1-1ul</t>
  </si>
  <si>
    <t>QC2-1ul</t>
  </si>
  <si>
    <t>1,3-diphopshateglycerate*C3H8O10P2</t>
  </si>
  <si>
    <t>1,3-diphopshateglycerate*m1</t>
  </si>
  <si>
    <t>1,3-diphopshateglycerate*m2</t>
  </si>
  <si>
    <t>1,3-diphopshateglycerate*m3</t>
  </si>
  <si>
    <t>2-Hydroxyglutarate*C5H8O5</t>
  </si>
  <si>
    <t>2-Hydroxyglutarate*m1</t>
  </si>
  <si>
    <t>2-Hydroxyglutarate*m2</t>
  </si>
  <si>
    <t>2-Hydroxyglutarate*m3</t>
  </si>
  <si>
    <t>2-Hydroxyglutarate*m4</t>
  </si>
  <si>
    <t>2-Hydroxyglutarate*m5</t>
  </si>
  <si>
    <t>3PG/2PG*C3H7O7P</t>
  </si>
  <si>
    <t>3PG/2PG*m1</t>
  </si>
  <si>
    <t>3PG/2PG*m2</t>
  </si>
  <si>
    <t>3PG/2PG*m3</t>
  </si>
  <si>
    <t>5-phosphoribosyl 1-pyrophosphate*C5H13O14P3</t>
  </si>
  <si>
    <t>5-phosphoribosyl 1-pyrophosphate*m1</t>
  </si>
  <si>
    <t>5-phosphoribosyl 1-pyrophosphate*m2</t>
  </si>
  <si>
    <t>5-phosphoribosyl 1-pyrophosphate*m3</t>
  </si>
  <si>
    <t>5-phosphoribosyl 1-pyrophosphate*m4</t>
  </si>
  <si>
    <t>5-phosphoribosyl 1-pyrophosphate*m5</t>
  </si>
  <si>
    <t>6-Phosphogluconic acid*C6H13O10P</t>
  </si>
  <si>
    <t>6-Phosphogluconic acid*m1</t>
  </si>
  <si>
    <t>6-Phosphogluconic acid*m2</t>
  </si>
  <si>
    <t>6-Phosphogluconic acid*m3</t>
  </si>
  <si>
    <t>6-Phosphogluconic acid*m4</t>
  </si>
  <si>
    <t>6-Phosphogluconic acid*m5</t>
  </si>
  <si>
    <t>6-Phosphogluconic acid*m6</t>
  </si>
  <si>
    <t>a-ketoglutarate*C5H6O5</t>
  </si>
  <si>
    <t>a-ketoglutarate*m1</t>
  </si>
  <si>
    <t>a-ketoglutarate*m2</t>
  </si>
  <si>
    <t>a-ketoglutarate*m3</t>
  </si>
  <si>
    <t>a-ketoglutarate*m4</t>
  </si>
  <si>
    <t>a-ketoglutarate*m5</t>
  </si>
  <si>
    <t>Acetyl-CoA*C23H38N7O17P3S</t>
  </si>
  <si>
    <t>Acetyl-CoA*m1</t>
  </si>
  <si>
    <t>Acetyl-CoA*m2</t>
  </si>
  <si>
    <t>aconitate*C6H6O6</t>
  </si>
  <si>
    <t>aconitate*m1</t>
  </si>
  <si>
    <t>aconitate*m2</t>
  </si>
  <si>
    <t>aconitate*m3</t>
  </si>
  <si>
    <t>aconitate*m4</t>
  </si>
  <si>
    <t>aconitate*m5</t>
  </si>
  <si>
    <t>aconitate*m6</t>
  </si>
  <si>
    <t>ADP*C10H15N5O10P2</t>
  </si>
  <si>
    <t>ADP*m1</t>
  </si>
  <si>
    <t>ADP*m2</t>
  </si>
  <si>
    <t>ADP*m3</t>
  </si>
  <si>
    <t>ADP*m4</t>
  </si>
  <si>
    <t>ADP*m5</t>
  </si>
  <si>
    <t>ADP*m6</t>
  </si>
  <si>
    <t>ADP*m7</t>
  </si>
  <si>
    <t>ADP*m8</t>
  </si>
  <si>
    <t>ADP*m9</t>
  </si>
  <si>
    <t>ADP*m10</t>
  </si>
  <si>
    <t>AMP-pos*C10H14N5O7P</t>
  </si>
  <si>
    <t>AMP-pos*m1</t>
  </si>
  <si>
    <t>AMP-pos*m2</t>
  </si>
  <si>
    <t>AMP-pos*m3</t>
  </si>
  <si>
    <t>AMP-pos*m4</t>
  </si>
  <si>
    <t>AMP-pos*m5</t>
  </si>
  <si>
    <t>AMP-pos*m6</t>
  </si>
  <si>
    <t>AMP-pos*m7</t>
  </si>
  <si>
    <t>AMP-pos*m8</t>
  </si>
  <si>
    <t>AMP-pos*m9</t>
  </si>
  <si>
    <t>AMP-pos*m10</t>
  </si>
  <si>
    <t>Aspartic acid*C4H7NO4</t>
  </si>
  <si>
    <t>Aspartic acid*m1</t>
  </si>
  <si>
    <t>Aspartic acid*m2</t>
  </si>
  <si>
    <t>Aspartic acid*m3</t>
  </si>
  <si>
    <t>Aspartic acid*m4</t>
  </si>
  <si>
    <t>ATP*C10H16N5O13P3</t>
  </si>
  <si>
    <t>ATP*m1</t>
  </si>
  <si>
    <t>ATP*m2</t>
  </si>
  <si>
    <t>ATP*m3</t>
  </si>
  <si>
    <t>ATP*m4</t>
  </si>
  <si>
    <t>ATP*m5</t>
  </si>
  <si>
    <t>ATP*m6</t>
  </si>
  <si>
    <t>ATP*m7</t>
  </si>
  <si>
    <t>ATP*m8</t>
  </si>
  <si>
    <t>ATP*m9</t>
  </si>
  <si>
    <t>ATP*m10</t>
  </si>
  <si>
    <t>CDP*C9H15N3O11P2</t>
  </si>
  <si>
    <t>CDP*m1</t>
  </si>
  <si>
    <t>CDP*m2</t>
  </si>
  <si>
    <t>CDP*m3</t>
  </si>
  <si>
    <t>CDP*m4</t>
  </si>
  <si>
    <t>CDP*m5</t>
  </si>
  <si>
    <t>CDP*m6</t>
  </si>
  <si>
    <t>CDP*m7</t>
  </si>
  <si>
    <t>CDP*m8</t>
  </si>
  <si>
    <t>CDP*m9</t>
  </si>
  <si>
    <t>citrate*C6H8O7</t>
  </si>
  <si>
    <t>citrate*m1</t>
  </si>
  <si>
    <t>citrate*m2</t>
  </si>
  <si>
    <t>citrate*m3</t>
  </si>
  <si>
    <t>citrate*m4</t>
  </si>
  <si>
    <t>citrate*m5</t>
  </si>
  <si>
    <t>citrate*m6</t>
  </si>
  <si>
    <t>CMP*C9H14N3O8P</t>
  </si>
  <si>
    <t>CMP*m1</t>
  </si>
  <si>
    <t>CMP*m2</t>
  </si>
  <si>
    <t>CMP*m3</t>
  </si>
  <si>
    <t>CMP*m4</t>
  </si>
  <si>
    <t>CMP*m5</t>
  </si>
  <si>
    <t>CMP*m6</t>
  </si>
  <si>
    <t>CMP*m7</t>
  </si>
  <si>
    <t>CMP*m8</t>
  </si>
  <si>
    <t>CMP*m9</t>
  </si>
  <si>
    <t>CTP*C9H16N3O14P3</t>
  </si>
  <si>
    <t>CTP*m1</t>
  </si>
  <si>
    <t>CTP*m2</t>
  </si>
  <si>
    <t>CTP*m3</t>
  </si>
  <si>
    <t>CTP*m4</t>
  </si>
  <si>
    <t>CTP*m5</t>
  </si>
  <si>
    <t>CTP*m6</t>
  </si>
  <si>
    <t>CTP*m7</t>
  </si>
  <si>
    <t>CTP*m8</t>
  </si>
  <si>
    <t>CTP*m9</t>
  </si>
  <si>
    <t>Dihydroxyacetone phosphate*C3H7O6P</t>
  </si>
  <si>
    <t>Dihydroxyacetone phosphate*m1</t>
  </si>
  <si>
    <t>Dihydroxyacetone phosphate*m2</t>
  </si>
  <si>
    <t>Dihydroxyacetone phosphate*m3</t>
  </si>
  <si>
    <t>dTDP*C10H16N2O11P2</t>
  </si>
  <si>
    <t>dTDP*m1</t>
  </si>
  <si>
    <t>dTDP*m2</t>
  </si>
  <si>
    <t>dTDP*m3</t>
  </si>
  <si>
    <t>dTDP*m4</t>
  </si>
  <si>
    <t>dTDP*m5</t>
  </si>
  <si>
    <t>dTDP*m6</t>
  </si>
  <si>
    <t>dTDP*m7</t>
  </si>
  <si>
    <t>dTDP*m8</t>
  </si>
  <si>
    <t>dTDP*m9</t>
  </si>
  <si>
    <t>dTDP*m10</t>
  </si>
  <si>
    <t>dTTP*C10H17N2O14P3</t>
  </si>
  <si>
    <t>dTTP*m1</t>
  </si>
  <si>
    <t>dTTP*m2</t>
  </si>
  <si>
    <t>dTTP*m3</t>
  </si>
  <si>
    <t>dTTP*m4</t>
  </si>
  <si>
    <t>dTTP*m5</t>
  </si>
  <si>
    <t>dTTP*m6</t>
  </si>
  <si>
    <t>dTTP*m7</t>
  </si>
  <si>
    <t>dTTP*m8</t>
  </si>
  <si>
    <t>dTTP*m9</t>
  </si>
  <si>
    <t>dTTP*m10</t>
  </si>
  <si>
    <t>fructose 1,6-bisphosphate*C6H14O12P2</t>
  </si>
  <si>
    <t>fructose 1,6-bisphosphate*m1</t>
  </si>
  <si>
    <t>fructose 1,6-bisphosphate*m2</t>
  </si>
  <si>
    <t>fructose 1,6-bisphosphate*m3</t>
  </si>
  <si>
    <t>fructose 1,6-bisphosphate*m4</t>
  </si>
  <si>
    <t>fructose 1,6-bisphosphate*m5</t>
  </si>
  <si>
    <t>fructose 1,6-bisphosphate*m6</t>
  </si>
  <si>
    <t>Fructose 1-phosphate*C6H13O9P</t>
  </si>
  <si>
    <t>Fructose 1-phosphate*m1</t>
  </si>
  <si>
    <t>Fructose 1-phosphate*m2</t>
  </si>
  <si>
    <t>Fructose 1-phosphate*m3</t>
  </si>
  <si>
    <t>Fructose 1-phosphate*m4</t>
  </si>
  <si>
    <t>Fructose 1-phosphate*m5</t>
  </si>
  <si>
    <t>Fructose 1-phosphate*m6</t>
  </si>
  <si>
    <t>fumarate*C4H4O4</t>
  </si>
  <si>
    <t>fumarate*m1</t>
  </si>
  <si>
    <t>fumarate*m2</t>
  </si>
  <si>
    <t>fumarate*m3</t>
  </si>
  <si>
    <t>fumarate*m4</t>
  </si>
  <si>
    <t>GDP*C10H15N5O11P2</t>
  </si>
  <si>
    <t>GDP*m1</t>
  </si>
  <si>
    <t>GDP*m2</t>
  </si>
  <si>
    <t>GDP*m3</t>
  </si>
  <si>
    <t>GDP*m4</t>
  </si>
  <si>
    <t>GDP*m5</t>
  </si>
  <si>
    <t>GDP*m6</t>
  </si>
  <si>
    <t>GDP*m7</t>
  </si>
  <si>
    <t>GDP*m8</t>
  </si>
  <si>
    <t>GDP*m9</t>
  </si>
  <si>
    <t>GDP*m10</t>
  </si>
  <si>
    <t>glucose 6-phosphate*C6H13O9P</t>
  </si>
  <si>
    <t>glucose 6-phosphate*m1</t>
  </si>
  <si>
    <t>glucose 6-phosphate*m2</t>
  </si>
  <si>
    <t>glucose 6-phosphate*m3</t>
  </si>
  <si>
    <t>glucose 6-phosphate*m4</t>
  </si>
  <si>
    <t>glucose 6-phosphate*m5</t>
  </si>
  <si>
    <t>glucose 6-phosphate*m6</t>
  </si>
  <si>
    <t>glucose*C6H12O6</t>
  </si>
  <si>
    <t>glucose*m1</t>
  </si>
  <si>
    <t>glucose*m2</t>
  </si>
  <si>
    <t>glucose*m3</t>
  </si>
  <si>
    <t>glucose*m4</t>
  </si>
  <si>
    <t>glucose*m5</t>
  </si>
  <si>
    <t>glucose*m6</t>
  </si>
  <si>
    <t>Glutamate*C5H9NO4</t>
  </si>
  <si>
    <t>Glutamate*m1</t>
  </si>
  <si>
    <t>Glutamate*m2</t>
  </si>
  <si>
    <t>Glutamate*m3</t>
  </si>
  <si>
    <t>Glutamate*m4</t>
  </si>
  <si>
    <t>Glutamate*m5</t>
  </si>
  <si>
    <t>Glutamine*C5H10N2O3</t>
  </si>
  <si>
    <t>Glutamine*m1</t>
  </si>
  <si>
    <t>Glutamine*m2</t>
  </si>
  <si>
    <t>Glutamine*m3</t>
  </si>
  <si>
    <t>Glutamine*m4</t>
  </si>
  <si>
    <t>Glutamine*m5</t>
  </si>
  <si>
    <t>glycerol 3-phosphate*C3H9O6P</t>
  </si>
  <si>
    <t>glycerol 3-phosphate*m1</t>
  </si>
  <si>
    <t>glycerol 3-phosphate*m2</t>
  </si>
  <si>
    <t>glycerol 3-phosphate*m3</t>
  </si>
  <si>
    <t>GMP-pos*C10H14N5O7P</t>
  </si>
  <si>
    <t>GMP-pos*m1</t>
  </si>
  <si>
    <t>GMP-pos*m2</t>
  </si>
  <si>
    <t>GMP-pos*m3</t>
  </si>
  <si>
    <t>GMP-pos*m4</t>
  </si>
  <si>
    <t>GMP-pos*m5</t>
  </si>
  <si>
    <t>GMP-pos*m6</t>
  </si>
  <si>
    <t>GMP-pos*m7</t>
  </si>
  <si>
    <t>GMP-pos*m8</t>
  </si>
  <si>
    <t>GMP-pos*m9</t>
  </si>
  <si>
    <t>GMP-pos*m10</t>
  </si>
  <si>
    <t>GTP*C10H16N5O14P3</t>
  </si>
  <si>
    <t>GTP*m1</t>
  </si>
  <si>
    <t>GTP*m2</t>
  </si>
  <si>
    <t>GTP*m3</t>
  </si>
  <si>
    <t>GTP*m4</t>
  </si>
  <si>
    <t>GTP*m5</t>
  </si>
  <si>
    <t>GTP*m6</t>
  </si>
  <si>
    <t>GTP*m7</t>
  </si>
  <si>
    <t>GTP*m8</t>
  </si>
  <si>
    <t>GTP*m9</t>
  </si>
  <si>
    <t>GTP*m10</t>
  </si>
  <si>
    <t>isocitrate*C6H8O7</t>
  </si>
  <si>
    <t>isocitrate*m1</t>
  </si>
  <si>
    <t>isocitrate*m2</t>
  </si>
  <si>
    <t>isocitrate*m3</t>
  </si>
  <si>
    <t>isocitrate*m4</t>
  </si>
  <si>
    <t>isocitrate*m5</t>
  </si>
  <si>
    <t>isocitrate*m6</t>
  </si>
  <si>
    <t>lactate*C3H6O3</t>
  </si>
  <si>
    <t>lactate*m1</t>
  </si>
  <si>
    <t>lactate*m2</t>
  </si>
  <si>
    <t>lactate*m3</t>
  </si>
  <si>
    <t>malate*C4H6O5</t>
  </si>
  <si>
    <t>malate*m1</t>
  </si>
  <si>
    <t>malate*m2</t>
  </si>
  <si>
    <t>malate*m3</t>
  </si>
  <si>
    <t>malate*m4</t>
  </si>
  <si>
    <t>NAD*C21H27N7O14P2</t>
  </si>
  <si>
    <t>NAD*m1</t>
  </si>
  <si>
    <t>NAD*m2</t>
  </si>
  <si>
    <t>NAD*m3</t>
  </si>
  <si>
    <t>NAD*m4</t>
  </si>
  <si>
    <t>NAD*m5</t>
  </si>
  <si>
    <t>NAD*m6</t>
  </si>
  <si>
    <t>NAD*m7</t>
  </si>
  <si>
    <t>NAD*m8</t>
  </si>
  <si>
    <t>NAD*m9</t>
  </si>
  <si>
    <t>NAD*m10</t>
  </si>
  <si>
    <t>NADH*C21H29N7O14P2</t>
  </si>
  <si>
    <t>NADH*m1</t>
  </si>
  <si>
    <t>NADH*m2</t>
  </si>
  <si>
    <t>NADH*m3</t>
  </si>
  <si>
    <t>NADH*m4</t>
  </si>
  <si>
    <t>NADH*m5</t>
  </si>
  <si>
    <t>NADH*m6</t>
  </si>
  <si>
    <t>NADH*m7</t>
  </si>
  <si>
    <t>NADH*m8</t>
  </si>
  <si>
    <t>NADH*m9</t>
  </si>
  <si>
    <t>NADH*m10</t>
  </si>
  <si>
    <t>NADP*C21H28N7O17P3</t>
  </si>
  <si>
    <t>NADP*m1</t>
  </si>
  <si>
    <t>NADP*m2</t>
  </si>
  <si>
    <t>NADP*m3</t>
  </si>
  <si>
    <t>NADP*m4</t>
  </si>
  <si>
    <t>NADP*m5</t>
  </si>
  <si>
    <t>NADP*m6</t>
  </si>
  <si>
    <t>NADP*m7</t>
  </si>
  <si>
    <t>NADP*m8</t>
  </si>
  <si>
    <t>NADP*m9</t>
  </si>
  <si>
    <t>NADP*m10</t>
  </si>
  <si>
    <t>NADPH*C21H30N7O17P3</t>
  </si>
  <si>
    <t>NADPH*m1</t>
  </si>
  <si>
    <t>NADPH*m2</t>
  </si>
  <si>
    <t>NADPH*m3</t>
  </si>
  <si>
    <t>NADPH*m4</t>
  </si>
  <si>
    <t>NADPH*m5</t>
  </si>
  <si>
    <t>NADPH*m6</t>
  </si>
  <si>
    <t>NADPH*m7</t>
  </si>
  <si>
    <t>NADPH*m8</t>
  </si>
  <si>
    <t>NADPH*m9</t>
  </si>
  <si>
    <t>NADPH*m10</t>
  </si>
  <si>
    <t>phosphoenolpyruvate*C3H5O6P</t>
  </si>
  <si>
    <t>phosphoenolpyruvate*m1</t>
  </si>
  <si>
    <t>phosphoenolpyruvate*m2</t>
  </si>
  <si>
    <t>phosphoenolpyruvate*m3</t>
  </si>
  <si>
    <t>pyruvate*C3H4O3</t>
  </si>
  <si>
    <t>pyruvate*m1</t>
  </si>
  <si>
    <t>pyruvate*m2</t>
  </si>
  <si>
    <t>pyruvate*m3</t>
  </si>
  <si>
    <t>sedoheptulose 7-phosphate*C7H15O10P</t>
  </si>
  <si>
    <t>sedoheptulose 7-phosphate*m1</t>
  </si>
  <si>
    <t>sedoheptulose 7-phosphate*m2</t>
  </si>
  <si>
    <t>sedoheptulose 7-phosphate*m3</t>
  </si>
  <si>
    <t>sedoheptulose 7-phosphate*m4</t>
  </si>
  <si>
    <t>sedoheptulose 7-phosphate*m5</t>
  </si>
  <si>
    <t>sedoheptulose 7-phosphate*m6</t>
  </si>
  <si>
    <t>sedoheptulose 7-phosphate*m7</t>
  </si>
  <si>
    <t>succinate*C4H6O4</t>
  </si>
  <si>
    <t>succinate*m1</t>
  </si>
  <si>
    <t>succinate*m2</t>
  </si>
  <si>
    <t>succinate*m3</t>
  </si>
  <si>
    <t>succinate*m4</t>
  </si>
  <si>
    <t>UDP*C9H14N2O12P2</t>
  </si>
  <si>
    <t>UDP*m1</t>
  </si>
  <si>
    <t>UDP*m2</t>
  </si>
  <si>
    <t>UDP*m3</t>
  </si>
  <si>
    <t>UDP*m4</t>
  </si>
  <si>
    <t>UDP*m5</t>
  </si>
  <si>
    <t>UDP*m6</t>
  </si>
  <si>
    <t>UDP*m7</t>
  </si>
  <si>
    <t>UDP*m8</t>
  </si>
  <si>
    <t>UDP*m9</t>
  </si>
  <si>
    <t>UDP-glucose*C15H24N2O17P2</t>
  </si>
  <si>
    <t>UDP-glucose*m1</t>
  </si>
  <si>
    <t>UDP-glucose*m2</t>
  </si>
  <si>
    <t>UDP-glucose*m3</t>
  </si>
  <si>
    <t>UDP-glucose*m4</t>
  </si>
  <si>
    <t>UDP-glucose*m5</t>
  </si>
  <si>
    <t>UDP-glucose*m6</t>
  </si>
  <si>
    <t>UDP-glucose*m7</t>
  </si>
  <si>
    <t>UDP-glucose*m8</t>
  </si>
  <si>
    <t>UDP-glucose*m9</t>
  </si>
  <si>
    <t>UDP-glucose*m10</t>
  </si>
  <si>
    <t>UDP-glucose*m11</t>
  </si>
  <si>
    <t>UDP-glucose*m12</t>
  </si>
  <si>
    <t>UDP-glucose*m13</t>
  </si>
  <si>
    <t>UDP-glucose*m14</t>
  </si>
  <si>
    <t>UDP-glucose*m15</t>
  </si>
  <si>
    <t>UMP*C9H13N2O9P</t>
  </si>
  <si>
    <t>UMP*m1</t>
  </si>
  <si>
    <t>UMP*m2</t>
  </si>
  <si>
    <t>UMP*m3</t>
  </si>
  <si>
    <t>UMP*m4</t>
  </si>
  <si>
    <t>UMP*m5</t>
  </si>
  <si>
    <t>UMP*m6</t>
  </si>
  <si>
    <t>UMP*m7</t>
  </si>
  <si>
    <t>UMP*m8</t>
  </si>
  <si>
    <t>UMP*m9</t>
  </si>
  <si>
    <t>UTP*C9H15N2O15P3</t>
  </si>
  <si>
    <t>UTP*m1</t>
  </si>
  <si>
    <t>UTP*m2</t>
  </si>
  <si>
    <t>UTP*m3</t>
  </si>
  <si>
    <t>UTP*m4</t>
  </si>
  <si>
    <t>UTP*m5</t>
  </si>
  <si>
    <t>UTP*m6</t>
  </si>
  <si>
    <t>UTP*m7</t>
  </si>
  <si>
    <t>UTP*m8</t>
  </si>
  <si>
    <t>UTP*m9</t>
  </si>
  <si>
    <t>TTEST</t>
  </si>
  <si>
    <t xml:space="preserve"> </t>
  </si>
  <si>
    <t xml:space="preserve">  </t>
  </si>
  <si>
    <t>M-1ul-GLN-D1</t>
  </si>
  <si>
    <t>M-1ul-GLN-D2</t>
  </si>
  <si>
    <t>M-1ul-GLN-D3</t>
  </si>
  <si>
    <t>M-1ul-GLN-F1</t>
  </si>
  <si>
    <t>M-1ul-GLN-F2</t>
  </si>
  <si>
    <t>M-1ul-GLN-F3</t>
  </si>
  <si>
    <t>Aspartic acid*C4N7NO4</t>
  </si>
  <si>
    <t>Aspartic acid*m5</t>
  </si>
  <si>
    <t>Glutamic acid*C5H9NO4</t>
  </si>
  <si>
    <t>Glutamic acid*m1</t>
  </si>
  <si>
    <t>Glutamic acid*m2</t>
  </si>
  <si>
    <t>Glutamic acid*m3</t>
  </si>
  <si>
    <t>Glutamic acid*m4</t>
  </si>
  <si>
    <t>Glutamic acid*m5</t>
  </si>
  <si>
    <t>Glutamic acid*m6</t>
  </si>
  <si>
    <t>Glutamine*m6</t>
  </si>
  <si>
    <t>Glutamine*m7</t>
  </si>
  <si>
    <t>Compound (corrected)</t>
  </si>
  <si>
    <t>Compound (corrected, considering N)</t>
  </si>
  <si>
    <t>C12_Glucose control</t>
  </si>
  <si>
    <t>H1975, [U-13C] glucose, DMSO</t>
  </si>
  <si>
    <t>H1975, [U-13C] glucose, FCCP</t>
  </si>
  <si>
    <t>H1975, [15N2, 13C6] glutamine, DMSO</t>
  </si>
  <si>
    <t>H1975, [15N2, 13C6] glutamine, FCCP</t>
  </si>
  <si>
    <t>master_mix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</si>
</sst>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Calibri"/>
      <charset val="134"/>
      <scheme val="minor"/>
    </font>
    <font>
      <sz val="11"/>
      <color rgb="FF000000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0" fontId="1" fillId="0" borderId="0" xfId="0" applyNumberFormat="1" applyFont="1"/>
    <xf numFmtId="11" fontId="1" fillId="0" borderId="0" xfId="0" applyNumberFormat="1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64" fontId="1" fillId="0" borderId="0" xfId="0" applyNumberFormat="1" applyFont="1"/>
    <xf numFmtId="10" fontId="0" fillId="0" borderId="0" xfId="0" applyNumberFormat="1"/>
    <xf numFmtId="10" fontId="0" fillId="0" borderId="0" xfId="0" applyNumberForma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1/sharedlinks" Target="NUL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422"/>
  <sheetViews>
    <sheetView workbookViewId="0">
      <pane xSplit="1" ySplit="1" topLeftCell="K2" activePane="bottomRight" state="frozen"/>
      <selection pane="topRight" activeCell="B1" sqref="B1"/>
      <selection pane="bottomLeft" activeCell="A2" sqref="A2"/>
      <selection pane="bottomRight" activeCell="B1" sqref="B1:P1"/>
    </sheetView>
  </sheetViews>
  <sheetFormatPr baseColWidth="10" defaultColWidth="9" defaultRowHeight="15" x14ac:dyDescent="0.2"/>
  <cols>
    <col min="1" max="1" width="45.83203125" customWidth="1"/>
    <col min="2" max="2" width="9.5" customWidth="1"/>
    <col min="3" max="5" width="18.5" customWidth="1"/>
    <col min="6" max="8" width="18" customWidth="1"/>
    <col min="9" max="11" width="18.5" customWidth="1"/>
    <col min="12" max="14" width="18.1640625" customWidth="1"/>
    <col min="15" max="16" width="9.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1" t="s">
        <v>16</v>
      </c>
      <c r="B2" s="3">
        <v>17071.174648744502</v>
      </c>
      <c r="C2" s="3">
        <v>20822.615414173499</v>
      </c>
      <c r="D2" s="3">
        <v>21144.108408951201</v>
      </c>
      <c r="E2" s="3">
        <v>31491.841134755599</v>
      </c>
      <c r="F2" s="3">
        <v>22072.406509627799</v>
      </c>
      <c r="G2" s="3">
        <v>15592.927116486801</v>
      </c>
      <c r="H2" s="3">
        <v>14881.7143177502</v>
      </c>
      <c r="I2" s="3">
        <v>42192.079041329103</v>
      </c>
      <c r="J2" s="3">
        <v>56086.572105018997</v>
      </c>
      <c r="K2" s="3">
        <v>51900.960735710098</v>
      </c>
      <c r="L2" s="3">
        <v>40689.0217602782</v>
      </c>
      <c r="M2" s="3">
        <v>38103.639188126697</v>
      </c>
      <c r="N2" s="3">
        <v>38253.531420418498</v>
      </c>
      <c r="O2" s="3">
        <v>37154.666296789197</v>
      </c>
      <c r="P2" s="3">
        <v>36817.667209015701</v>
      </c>
    </row>
    <row r="3" spans="1:16" x14ac:dyDescent="0.2">
      <c r="A3" s="1" t="s">
        <v>17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</row>
    <row r="4" spans="1:16" x14ac:dyDescent="0.2">
      <c r="A4" s="1" t="s">
        <v>18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</row>
    <row r="5" spans="1:16" x14ac:dyDescent="0.2">
      <c r="A5" s="1" t="s">
        <v>19</v>
      </c>
      <c r="B5" s="3">
        <v>0</v>
      </c>
      <c r="C5" s="3">
        <v>18611</v>
      </c>
      <c r="D5" s="3">
        <v>21850</v>
      </c>
      <c r="E5" s="3">
        <v>19664</v>
      </c>
      <c r="F5" s="3">
        <v>14764</v>
      </c>
      <c r="G5" s="3">
        <v>13524</v>
      </c>
      <c r="H5" s="3">
        <v>12263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8030</v>
      </c>
      <c r="P5" s="3">
        <v>8550</v>
      </c>
    </row>
    <row r="7" spans="1:16" x14ac:dyDescent="0.2">
      <c r="A7" s="1" t="s">
        <v>20</v>
      </c>
      <c r="B7" s="3">
        <v>1819534.8655193299</v>
      </c>
      <c r="C7" s="3">
        <v>2077407.2336460699</v>
      </c>
      <c r="D7" s="3">
        <v>2626308.9212075202</v>
      </c>
      <c r="E7" s="3">
        <v>2515949.2116011698</v>
      </c>
      <c r="F7" s="3">
        <v>2537907.64647592</v>
      </c>
      <c r="G7" s="3">
        <v>2075142.3770288201</v>
      </c>
      <c r="H7" s="3">
        <v>1798420.8638863801</v>
      </c>
      <c r="I7" s="3">
        <v>1840813.7377226499</v>
      </c>
      <c r="J7" s="3">
        <v>1935146.1255368399</v>
      </c>
      <c r="K7" s="3">
        <v>1941356.2503539</v>
      </c>
      <c r="L7" s="3">
        <v>1985371.40832804</v>
      </c>
      <c r="M7" s="3">
        <v>1883180.1899931401</v>
      </c>
      <c r="N7" s="3">
        <v>2193133.6916903099</v>
      </c>
      <c r="O7" s="3">
        <v>2060549.2178263101</v>
      </c>
      <c r="P7" s="3">
        <v>2047398.67611449</v>
      </c>
    </row>
    <row r="8" spans="1:16" x14ac:dyDescent="0.2">
      <c r="A8" s="1" t="s">
        <v>21</v>
      </c>
      <c r="B8" s="3">
        <v>0</v>
      </c>
      <c r="C8" s="3">
        <v>0</v>
      </c>
      <c r="D8" s="3">
        <v>0</v>
      </c>
      <c r="E8" s="3">
        <v>8284.4756039774093</v>
      </c>
      <c r="F8" s="3">
        <v>8292.3724815528094</v>
      </c>
      <c r="G8" s="3">
        <v>0</v>
      </c>
      <c r="H8" s="3">
        <v>0</v>
      </c>
      <c r="I8" s="3">
        <v>9325.9334048156597</v>
      </c>
      <c r="J8" s="3">
        <v>0</v>
      </c>
      <c r="K8" s="3">
        <v>5396.3532738938802</v>
      </c>
      <c r="L8" s="3">
        <v>0</v>
      </c>
      <c r="M8" s="3">
        <v>0</v>
      </c>
      <c r="N8" s="3">
        <v>0</v>
      </c>
      <c r="O8" s="3">
        <v>7105.4301415822101</v>
      </c>
      <c r="P8" s="3">
        <v>6070.6210635527204</v>
      </c>
    </row>
    <row r="9" spans="1:16" x14ac:dyDescent="0.2">
      <c r="A9" s="1" t="s">
        <v>22</v>
      </c>
      <c r="B9" s="3">
        <v>0</v>
      </c>
      <c r="C9" s="3">
        <v>48306.020175929298</v>
      </c>
      <c r="D9" s="3">
        <v>69523.013829994001</v>
      </c>
      <c r="E9" s="3">
        <v>54011.052611925101</v>
      </c>
      <c r="F9" s="3">
        <v>74183.405918859295</v>
      </c>
      <c r="G9" s="3">
        <v>53504.546253291803</v>
      </c>
      <c r="H9" s="3">
        <v>52987.399824439301</v>
      </c>
      <c r="I9" s="3">
        <v>28740.176075551499</v>
      </c>
      <c r="J9" s="3">
        <v>21759.090406065701</v>
      </c>
      <c r="K9" s="3">
        <v>13834.2438573656</v>
      </c>
      <c r="L9" s="3">
        <v>9293.7131825630095</v>
      </c>
      <c r="M9" s="3">
        <v>32240.6656072898</v>
      </c>
      <c r="N9" s="3">
        <v>18113.1154569422</v>
      </c>
      <c r="O9" s="3">
        <v>38715.050586469297</v>
      </c>
      <c r="P9" s="3">
        <v>42696.434650689604</v>
      </c>
    </row>
    <row r="10" spans="1:16" x14ac:dyDescent="0.2">
      <c r="A10" s="1" t="s">
        <v>23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3032.8932073747801</v>
      </c>
      <c r="I10" s="3">
        <v>75048.527335489998</v>
      </c>
      <c r="J10" s="3">
        <v>85180.317815959803</v>
      </c>
      <c r="K10" s="3">
        <v>78026.608813053797</v>
      </c>
      <c r="L10" s="3">
        <v>82329.726506935505</v>
      </c>
      <c r="M10" s="3">
        <v>84863.725304824693</v>
      </c>
      <c r="N10" s="3">
        <v>88012.978349662706</v>
      </c>
      <c r="O10" s="3">
        <v>45203.148169634303</v>
      </c>
      <c r="P10" s="3">
        <v>35832.348184119903</v>
      </c>
    </row>
    <row r="11" spans="1:16" x14ac:dyDescent="0.2">
      <c r="A11" s="1" t="s">
        <v>24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34905.667755787697</v>
      </c>
      <c r="J11" s="3">
        <v>28231.308566049502</v>
      </c>
      <c r="K11" s="3">
        <v>19637.269613440902</v>
      </c>
      <c r="L11" s="3">
        <v>15226.7568202281</v>
      </c>
      <c r="M11" s="3">
        <v>22403.326221245701</v>
      </c>
      <c r="N11" s="3">
        <v>22771.9313189678</v>
      </c>
      <c r="O11" s="3">
        <v>12507.0779783531</v>
      </c>
      <c r="P11" s="3">
        <v>17655.1674842541</v>
      </c>
    </row>
    <row r="12" spans="1:16" x14ac:dyDescent="0.2">
      <c r="A12" s="1" t="s">
        <v>25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568599.95678287896</v>
      </c>
      <c r="J12" s="3">
        <v>504071.14878731797</v>
      </c>
      <c r="K12" s="3">
        <v>531737.54881458601</v>
      </c>
      <c r="L12" s="3">
        <v>435065.54377807002</v>
      </c>
      <c r="M12" s="3">
        <v>477307.294900804</v>
      </c>
      <c r="N12" s="3">
        <v>485591.85918511101</v>
      </c>
      <c r="O12" s="3">
        <v>244118.95256131</v>
      </c>
      <c r="P12" s="3">
        <v>246733.45744354301</v>
      </c>
    </row>
    <row r="14" spans="1:16" x14ac:dyDescent="0.2">
      <c r="A14" s="1" t="s">
        <v>26</v>
      </c>
      <c r="B14" s="3">
        <v>297759.36883850198</v>
      </c>
      <c r="C14" s="3">
        <v>148453.26686186899</v>
      </c>
      <c r="D14" s="3">
        <v>254919.13510995201</v>
      </c>
      <c r="E14" s="3">
        <v>188866.280166824</v>
      </c>
      <c r="F14" s="3">
        <v>236948.60706745699</v>
      </c>
      <c r="G14" s="3">
        <v>191409.27941811999</v>
      </c>
      <c r="H14" s="3">
        <v>200972.403838342</v>
      </c>
      <c r="I14" s="3">
        <v>472779.74169968901</v>
      </c>
      <c r="J14" s="3">
        <v>506708.10691383702</v>
      </c>
      <c r="K14" s="3">
        <v>457964.18671205401</v>
      </c>
      <c r="L14" s="3">
        <v>431171.72549453197</v>
      </c>
      <c r="M14" s="3">
        <v>402690.13388000999</v>
      </c>
      <c r="N14" s="3">
        <v>415043.32129992603</v>
      </c>
      <c r="O14" s="3">
        <v>325987.69426742702</v>
      </c>
      <c r="P14" s="3">
        <v>296541.62366857199</v>
      </c>
    </row>
    <row r="15" spans="1:16" x14ac:dyDescent="0.2">
      <c r="A15" s="1" t="s">
        <v>27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3464.10045734405</v>
      </c>
      <c r="O15" s="3">
        <v>0</v>
      </c>
      <c r="P15" s="3">
        <v>0</v>
      </c>
    </row>
    <row r="16" spans="1:16" x14ac:dyDescent="0.2">
      <c r="A16" s="1" t="s">
        <v>28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</row>
    <row r="17" spans="1:16" x14ac:dyDescent="0.2">
      <c r="A17" s="1" t="s">
        <v>29</v>
      </c>
      <c r="B17" s="3">
        <v>0</v>
      </c>
      <c r="C17" s="3">
        <v>174422</v>
      </c>
      <c r="D17" s="3">
        <v>283640.66751112102</v>
      </c>
      <c r="E17" s="3">
        <v>217745.632495531</v>
      </c>
      <c r="F17" s="3">
        <v>279050</v>
      </c>
      <c r="G17" s="3">
        <v>259704</v>
      </c>
      <c r="H17" s="3">
        <v>217901.50108962701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124109.901681541</v>
      </c>
      <c r="P17" s="3">
        <v>123729.485599412</v>
      </c>
    </row>
    <row r="19" spans="1:16" x14ac:dyDescent="0.2">
      <c r="A19" s="1" t="s">
        <v>30</v>
      </c>
      <c r="B19" s="3">
        <v>12946.5672241272</v>
      </c>
      <c r="C19" s="3">
        <v>6878.0619995607804</v>
      </c>
      <c r="D19" s="3">
        <v>8187.5147988010704</v>
      </c>
      <c r="E19" s="3">
        <v>5499.9131293353203</v>
      </c>
      <c r="F19" s="3">
        <v>6572.6286993344302</v>
      </c>
      <c r="G19" s="3">
        <v>5485.1170525077496</v>
      </c>
      <c r="H19" s="3">
        <v>5913.1464178768501</v>
      </c>
      <c r="I19" s="3">
        <v>21902.4211553315</v>
      </c>
      <c r="J19" s="3">
        <v>19687.237081717602</v>
      </c>
      <c r="K19" s="3">
        <v>21253.507500179399</v>
      </c>
      <c r="L19" s="3">
        <v>24169.391497842</v>
      </c>
      <c r="M19" s="3">
        <v>24691.481637329201</v>
      </c>
      <c r="N19" s="3">
        <v>23979.156224344599</v>
      </c>
      <c r="O19" s="3">
        <v>15569.7002731299</v>
      </c>
      <c r="P19" s="3">
        <v>15570.757135760399</v>
      </c>
    </row>
    <row r="20" spans="1:16" x14ac:dyDescent="0.2">
      <c r="A20" s="1" t="s">
        <v>31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</row>
    <row r="21" spans="1:16" x14ac:dyDescent="0.2">
      <c r="A21" s="1" t="s">
        <v>32</v>
      </c>
      <c r="B21" s="3">
        <v>0</v>
      </c>
      <c r="C21" s="3">
        <v>4723.1033877384198</v>
      </c>
      <c r="D21" s="3">
        <v>6648.4094394516596</v>
      </c>
      <c r="E21" s="3">
        <v>4471.5047622747798</v>
      </c>
      <c r="F21" s="3">
        <v>5221.7354169605296</v>
      </c>
      <c r="G21" s="3">
        <v>5689.2678354575601</v>
      </c>
      <c r="H21" s="3">
        <v>4923.7826654704004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</row>
    <row r="22" spans="1:16" x14ac:dyDescent="0.2">
      <c r="A22" s="1" t="s">
        <v>33</v>
      </c>
      <c r="B22" s="3">
        <v>0</v>
      </c>
      <c r="C22" s="3">
        <v>5204.4150998826399</v>
      </c>
      <c r="D22" s="3">
        <v>5340.24183782195</v>
      </c>
      <c r="E22" s="3">
        <v>4411.1810303467901</v>
      </c>
      <c r="F22" s="3">
        <v>3690.1905395789399</v>
      </c>
      <c r="G22" s="3">
        <v>4464.0303731664899</v>
      </c>
      <c r="H22" s="3">
        <v>3488.3927219540601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</row>
    <row r="23" spans="1:16" x14ac:dyDescent="0.2">
      <c r="A23" s="1" t="s">
        <v>34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</row>
    <row r="24" spans="1:16" x14ac:dyDescent="0.2">
      <c r="A24" s="1" t="s">
        <v>35</v>
      </c>
      <c r="B24" s="3">
        <v>0</v>
      </c>
      <c r="C24" s="3">
        <v>6488.37026577292</v>
      </c>
      <c r="D24" s="3">
        <v>6758.3538307376202</v>
      </c>
      <c r="E24" s="3">
        <v>6288.4662470953299</v>
      </c>
      <c r="F24" s="3">
        <v>6820.5534869447101</v>
      </c>
      <c r="G24" s="3">
        <v>4996.4598523248496</v>
      </c>
      <c r="H24" s="3">
        <v>5255.5779044806404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</row>
    <row r="26" spans="1:16" x14ac:dyDescent="0.2">
      <c r="A26" s="1" t="s">
        <v>36</v>
      </c>
      <c r="B26" s="3">
        <v>599752.97926196898</v>
      </c>
      <c r="C26" s="3">
        <v>298906.18501164101</v>
      </c>
      <c r="D26" s="3">
        <v>287389.69505275303</v>
      </c>
      <c r="E26" s="3">
        <v>309127.51065483998</v>
      </c>
      <c r="F26" s="3">
        <v>233149.88055490699</v>
      </c>
      <c r="G26" s="3">
        <v>268995.58336468198</v>
      </c>
      <c r="H26" s="3">
        <v>216465.556742332</v>
      </c>
      <c r="I26" s="3">
        <v>603666.25626201101</v>
      </c>
      <c r="J26" s="3">
        <v>652608.93419808499</v>
      </c>
      <c r="K26" s="3">
        <v>660096.73647533602</v>
      </c>
      <c r="L26" s="3">
        <v>363341.67833455303</v>
      </c>
      <c r="M26" s="3">
        <v>428562.60546277202</v>
      </c>
      <c r="N26" s="3">
        <v>379921.277639754</v>
      </c>
      <c r="O26" s="3">
        <v>391513.63943561702</v>
      </c>
      <c r="P26" s="3">
        <v>378291.63607092202</v>
      </c>
    </row>
    <row r="27" spans="1:16" x14ac:dyDescent="0.2">
      <c r="A27" s="1" t="s">
        <v>37</v>
      </c>
      <c r="B27" s="3">
        <v>0</v>
      </c>
      <c r="C27" s="3">
        <v>5363.1675009054197</v>
      </c>
      <c r="D27" s="3">
        <v>0</v>
      </c>
      <c r="E27" s="3">
        <v>0</v>
      </c>
      <c r="F27" s="3">
        <v>0</v>
      </c>
      <c r="G27" s="3">
        <v>0</v>
      </c>
      <c r="H27" s="3">
        <v>5143.6927175022101</v>
      </c>
      <c r="I27" s="3">
        <v>257.50901469361298</v>
      </c>
      <c r="J27" s="3">
        <v>0</v>
      </c>
      <c r="K27" s="3">
        <v>6503.5393771379004</v>
      </c>
      <c r="L27" s="3">
        <v>10319.9259041274</v>
      </c>
      <c r="M27" s="3">
        <v>0</v>
      </c>
      <c r="N27" s="3">
        <v>2667.8397274772801</v>
      </c>
      <c r="O27" s="3">
        <v>8808.2842769051495</v>
      </c>
      <c r="P27" s="3">
        <v>11564.265706599101</v>
      </c>
    </row>
    <row r="28" spans="1:16" x14ac:dyDescent="0.2">
      <c r="A28" s="1" t="s">
        <v>38</v>
      </c>
      <c r="B28" s="3">
        <v>0</v>
      </c>
      <c r="C28" s="3">
        <v>0</v>
      </c>
      <c r="D28" s="3">
        <v>8602.7225054992905</v>
      </c>
      <c r="E28" s="3">
        <v>3096.6781195871299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1225.3791322673701</v>
      </c>
      <c r="O28" s="3">
        <v>3328.14801386921</v>
      </c>
      <c r="P28" s="3">
        <v>0</v>
      </c>
    </row>
    <row r="29" spans="1:16" x14ac:dyDescent="0.2">
      <c r="A29" s="1" t="s">
        <v>39</v>
      </c>
      <c r="B29" s="3">
        <v>0</v>
      </c>
      <c r="C29" s="3">
        <v>10712.3557854922</v>
      </c>
      <c r="D29" s="3">
        <v>13460.910552212301</v>
      </c>
      <c r="E29" s="3">
        <v>13960.5776489212</v>
      </c>
      <c r="F29" s="3">
        <v>11628.536007250001</v>
      </c>
      <c r="G29" s="3">
        <v>0</v>
      </c>
      <c r="H29" s="3">
        <v>8577.5559746054896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1:16" x14ac:dyDescent="0.2">
      <c r="A30" s="1" t="s">
        <v>40</v>
      </c>
      <c r="B30" s="3">
        <v>0</v>
      </c>
      <c r="C30" s="3">
        <v>0</v>
      </c>
      <c r="D30" s="3">
        <v>2864.0627221500899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1:16" x14ac:dyDescent="0.2">
      <c r="A31" s="1" t="s">
        <v>41</v>
      </c>
      <c r="B31" s="3">
        <v>0</v>
      </c>
      <c r="C31" s="3">
        <v>21926.343972989402</v>
      </c>
      <c r="D31" s="3">
        <v>23955.5609702373</v>
      </c>
      <c r="E31" s="3">
        <v>17763.970555877</v>
      </c>
      <c r="F31" s="3">
        <v>18433.5948171624</v>
      </c>
      <c r="G31" s="3">
        <v>18220.424671385201</v>
      </c>
      <c r="H31" s="3">
        <v>12788.5951439456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7007.0778564206303</v>
      </c>
      <c r="P31" s="3">
        <v>9301.3144590495394</v>
      </c>
    </row>
    <row r="32" spans="1:16" x14ac:dyDescent="0.2">
      <c r="A32" s="1" t="s">
        <v>42</v>
      </c>
      <c r="B32" s="3">
        <v>0</v>
      </c>
      <c r="C32" s="3">
        <v>269834.81021629699</v>
      </c>
      <c r="D32" s="3">
        <v>252788.40374639901</v>
      </c>
      <c r="E32" s="3">
        <v>271477.01561967598</v>
      </c>
      <c r="F32" s="3">
        <v>182300.230457011</v>
      </c>
      <c r="G32" s="3">
        <v>165698.575328615</v>
      </c>
      <c r="H32" s="3">
        <v>163820.325453417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110657.922143579</v>
      </c>
      <c r="P32" s="3">
        <v>87610.685540950406</v>
      </c>
    </row>
    <row r="34" spans="1:16" x14ac:dyDescent="0.2">
      <c r="A34" s="1" t="s">
        <v>43</v>
      </c>
      <c r="B34" s="3">
        <v>1971762.18823457</v>
      </c>
      <c r="C34" s="3">
        <v>1801206.75378049</v>
      </c>
      <c r="D34" s="3">
        <v>2408604.7310797502</v>
      </c>
      <c r="E34" s="3">
        <v>2084481.8720949199</v>
      </c>
      <c r="F34" s="3">
        <v>1639392.6301436201</v>
      </c>
      <c r="G34" s="3">
        <v>1298698.1651119001</v>
      </c>
      <c r="H34" s="3">
        <v>1094830.4205431801</v>
      </c>
      <c r="I34" s="3">
        <v>1595047.7310287501</v>
      </c>
      <c r="J34" s="3">
        <v>1686593.17208621</v>
      </c>
      <c r="K34" s="3">
        <v>1634430.66009323</v>
      </c>
      <c r="L34" s="3">
        <v>1246617.03154148</v>
      </c>
      <c r="M34" s="3">
        <v>1202479.2775021901</v>
      </c>
      <c r="N34" s="3">
        <v>1267602.0959335</v>
      </c>
      <c r="O34" s="3">
        <v>1508334.26591812</v>
      </c>
      <c r="P34" s="3">
        <v>1554306.73348403</v>
      </c>
    </row>
    <row r="35" spans="1:16" x14ac:dyDescent="0.2">
      <c r="A35" s="1" t="s">
        <v>44</v>
      </c>
      <c r="B35" s="3">
        <v>0</v>
      </c>
      <c r="C35" s="3">
        <v>0</v>
      </c>
      <c r="D35" s="3">
        <v>0</v>
      </c>
      <c r="E35" s="3">
        <v>0</v>
      </c>
      <c r="F35" s="3">
        <v>10896.770526704</v>
      </c>
      <c r="G35" s="3">
        <v>0</v>
      </c>
      <c r="H35" s="3">
        <v>0</v>
      </c>
      <c r="I35" s="3">
        <v>0</v>
      </c>
      <c r="J35" s="3">
        <v>0</v>
      </c>
      <c r="K35" s="3">
        <v>3149.5742919398999</v>
      </c>
      <c r="L35" s="3">
        <v>0</v>
      </c>
      <c r="M35" s="3">
        <v>0</v>
      </c>
      <c r="N35" s="3">
        <v>1025.0109045817201</v>
      </c>
      <c r="O35" s="3">
        <v>18289.987533170399</v>
      </c>
      <c r="P35" s="3">
        <v>10375.394826354999</v>
      </c>
    </row>
    <row r="36" spans="1:16" x14ac:dyDescent="0.2">
      <c r="A36" s="1" t="s">
        <v>45</v>
      </c>
      <c r="B36" s="3">
        <v>0</v>
      </c>
      <c r="C36" s="3">
        <v>55385.263518985303</v>
      </c>
      <c r="D36" s="3">
        <v>100236.145052839</v>
      </c>
      <c r="E36" s="3">
        <v>59888.104728559498</v>
      </c>
      <c r="F36" s="3">
        <v>108712.42398048899</v>
      </c>
      <c r="G36" s="3">
        <v>68666.638202166607</v>
      </c>
      <c r="H36" s="3">
        <v>37675.243198167896</v>
      </c>
      <c r="I36" s="3">
        <v>37486.8084560891</v>
      </c>
      <c r="J36" s="3">
        <v>27944.682782403299</v>
      </c>
      <c r="K36" s="3">
        <v>21707.280316542401</v>
      </c>
      <c r="L36" s="3">
        <v>19315.207580298102</v>
      </c>
      <c r="M36" s="3">
        <v>11926.6287116603</v>
      </c>
      <c r="N36" s="3">
        <v>9490.3453094807392</v>
      </c>
      <c r="O36" s="3">
        <v>54222.690591277104</v>
      </c>
      <c r="P36" s="3">
        <v>46933.860249252699</v>
      </c>
    </row>
    <row r="37" spans="1:16" x14ac:dyDescent="0.2">
      <c r="A37" s="1" t="s">
        <v>46</v>
      </c>
      <c r="B37" s="3">
        <v>0</v>
      </c>
      <c r="C37" s="3">
        <v>0</v>
      </c>
      <c r="D37" s="3">
        <v>2710.7266419234902</v>
      </c>
      <c r="E37" s="3">
        <v>3148.72417986661</v>
      </c>
      <c r="F37" s="3">
        <v>3367.9534962718699</v>
      </c>
      <c r="G37" s="3">
        <v>0</v>
      </c>
      <c r="H37" s="3">
        <v>0</v>
      </c>
      <c r="I37" s="3">
        <v>168818.41274989801</v>
      </c>
      <c r="J37" s="3">
        <v>119809.509835313</v>
      </c>
      <c r="K37" s="3">
        <v>120850.20040126301</v>
      </c>
      <c r="L37" s="3">
        <v>144540.40101123901</v>
      </c>
      <c r="M37" s="3">
        <v>134856.61604491601</v>
      </c>
      <c r="N37" s="3">
        <v>148827.15502013601</v>
      </c>
      <c r="O37" s="3">
        <v>93793.953134721101</v>
      </c>
      <c r="P37" s="3">
        <v>78202.721674046799</v>
      </c>
    </row>
    <row r="38" spans="1:16" x14ac:dyDescent="0.2">
      <c r="A38" s="1" t="s">
        <v>47</v>
      </c>
      <c r="B38" s="3">
        <v>0</v>
      </c>
      <c r="C38" s="3">
        <v>0</v>
      </c>
      <c r="D38" s="3">
        <v>0</v>
      </c>
      <c r="E38" s="3">
        <v>0</v>
      </c>
      <c r="F38" s="3">
        <v>8685.8411189248109</v>
      </c>
      <c r="G38" s="3">
        <v>0</v>
      </c>
      <c r="H38" s="3">
        <v>0</v>
      </c>
      <c r="I38" s="3">
        <v>30398.378431475001</v>
      </c>
      <c r="J38" s="3">
        <v>27990.6548718464</v>
      </c>
      <c r="K38" s="3">
        <v>33427.051156793903</v>
      </c>
      <c r="L38" s="3">
        <v>12168.6157533409</v>
      </c>
      <c r="M38" s="3">
        <v>8528.93157217929</v>
      </c>
      <c r="N38" s="3">
        <v>18338.743155366901</v>
      </c>
      <c r="O38" s="3">
        <v>5939.7069385218601</v>
      </c>
      <c r="P38" s="3">
        <v>10648.352798214401</v>
      </c>
    </row>
    <row r="39" spans="1:16" x14ac:dyDescent="0.2">
      <c r="A39" s="1" t="s">
        <v>48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963673.190809311</v>
      </c>
      <c r="J39" s="3">
        <v>897556.60584572004</v>
      </c>
      <c r="K39" s="3">
        <v>905182.67956302699</v>
      </c>
      <c r="L39" s="3">
        <v>483820.65583819099</v>
      </c>
      <c r="M39" s="3">
        <v>503776.86410216498</v>
      </c>
      <c r="N39" s="3">
        <v>556909.265739533</v>
      </c>
      <c r="O39" s="3">
        <v>350304.314155347</v>
      </c>
      <c r="P39" s="3">
        <v>367253.40558989701</v>
      </c>
    </row>
    <row r="41" spans="1:16" x14ac:dyDescent="0.2">
      <c r="A41" s="1" t="s">
        <v>49</v>
      </c>
      <c r="B41" s="3">
        <v>92239.910174553806</v>
      </c>
      <c r="C41" s="3">
        <v>364961.60205863899</v>
      </c>
      <c r="D41" s="3">
        <v>399976.682402023</v>
      </c>
      <c r="E41" s="3">
        <v>293726.87102046399</v>
      </c>
      <c r="F41" s="3">
        <v>380432.72190391499</v>
      </c>
      <c r="G41" s="3">
        <v>230918.97368260901</v>
      </c>
      <c r="H41" s="3">
        <v>164925.54233192999</v>
      </c>
      <c r="I41" s="3">
        <v>188617.14549612699</v>
      </c>
      <c r="J41" s="3">
        <v>255868.02448344699</v>
      </c>
      <c r="K41" s="3">
        <v>309329.53923388099</v>
      </c>
      <c r="L41" s="3">
        <v>361007.41287510999</v>
      </c>
      <c r="M41" s="3">
        <v>376205.118465034</v>
      </c>
      <c r="N41" s="3">
        <v>333972.93353227398</v>
      </c>
      <c r="O41" s="3">
        <v>285137.536394795</v>
      </c>
      <c r="P41" s="3">
        <v>225755.055388137</v>
      </c>
    </row>
    <row r="42" spans="1:16" x14ac:dyDescent="0.2">
      <c r="A42" s="1" t="s">
        <v>50</v>
      </c>
      <c r="B42" s="3">
        <v>0</v>
      </c>
      <c r="C42" s="3">
        <v>11518.8329543249</v>
      </c>
      <c r="D42" s="3">
        <v>0</v>
      </c>
      <c r="E42" s="3">
        <v>17097.4097608351</v>
      </c>
      <c r="F42" s="3">
        <v>18807.385073570498</v>
      </c>
      <c r="G42" s="3">
        <v>7104.0194216112404</v>
      </c>
      <c r="H42" s="3">
        <v>0</v>
      </c>
      <c r="I42" s="3">
        <v>3643.1933649654002</v>
      </c>
      <c r="J42" s="3">
        <v>19860.683829445399</v>
      </c>
      <c r="K42" s="3">
        <v>8139.7577600292198</v>
      </c>
      <c r="L42" s="3">
        <v>29206.652426414501</v>
      </c>
      <c r="M42" s="3">
        <v>4045.42184590442</v>
      </c>
      <c r="N42" s="3">
        <v>3691.95911884917</v>
      </c>
      <c r="O42" s="3">
        <v>3836.9215514707598</v>
      </c>
      <c r="P42" s="3">
        <v>8759.9786529461908</v>
      </c>
    </row>
    <row r="43" spans="1:16" x14ac:dyDescent="0.2">
      <c r="A43" s="1" t="s">
        <v>51</v>
      </c>
      <c r="B43" s="3">
        <v>0</v>
      </c>
      <c r="C43" s="3">
        <v>57656.090693900398</v>
      </c>
      <c r="D43" s="3">
        <v>60375.676994884503</v>
      </c>
      <c r="E43" s="3">
        <v>46512.884501770997</v>
      </c>
      <c r="F43" s="3">
        <v>97874.770858314805</v>
      </c>
      <c r="G43" s="3">
        <v>65575.410219889294</v>
      </c>
      <c r="H43" s="3">
        <v>45540.743232248198</v>
      </c>
      <c r="I43" s="3">
        <v>49289.152241099</v>
      </c>
      <c r="J43" s="3">
        <v>62803.091349773997</v>
      </c>
      <c r="K43" s="3">
        <v>85667.471266598906</v>
      </c>
      <c r="L43" s="3">
        <v>43402.3829594688</v>
      </c>
      <c r="M43" s="3">
        <v>43213.286926325003</v>
      </c>
      <c r="N43" s="3">
        <v>58187.832177620301</v>
      </c>
      <c r="O43" s="3">
        <v>62373.791913193098</v>
      </c>
      <c r="P43" s="3">
        <v>58390.866525154699</v>
      </c>
    </row>
    <row r="45" spans="1:16" x14ac:dyDescent="0.2">
      <c r="A45" s="1" t="s">
        <v>52</v>
      </c>
      <c r="B45" s="3">
        <v>711232.21736173402</v>
      </c>
      <c r="C45" s="3">
        <v>447417.29125980497</v>
      </c>
      <c r="D45" s="3">
        <v>809231.91529805597</v>
      </c>
      <c r="E45" s="3">
        <v>578440.47339391103</v>
      </c>
      <c r="F45" s="3">
        <v>715089.92625582195</v>
      </c>
      <c r="G45" s="3">
        <v>503389.33459901199</v>
      </c>
      <c r="H45" s="3">
        <v>455030.121775451</v>
      </c>
      <c r="I45" s="3">
        <v>507055.76097452902</v>
      </c>
      <c r="J45" s="3">
        <v>539794.992938012</v>
      </c>
      <c r="K45" s="3">
        <v>509338.327788316</v>
      </c>
      <c r="L45" s="3">
        <v>558943.54852614505</v>
      </c>
      <c r="M45" s="3">
        <v>650948.30272400996</v>
      </c>
      <c r="N45" s="3">
        <v>655578.62201433699</v>
      </c>
      <c r="O45" s="3">
        <v>590594.92795384396</v>
      </c>
      <c r="P45" s="3">
        <v>573198.90493809397</v>
      </c>
    </row>
    <row r="46" spans="1:16" x14ac:dyDescent="0.2">
      <c r="A46" s="1" t="s">
        <v>53</v>
      </c>
      <c r="B46" s="3">
        <v>0</v>
      </c>
      <c r="C46" s="3">
        <v>15461.8735693792</v>
      </c>
      <c r="D46" s="3">
        <v>0</v>
      </c>
      <c r="E46" s="3">
        <v>1737.1754714092301</v>
      </c>
      <c r="F46" s="3">
        <v>9366.0117388048493</v>
      </c>
      <c r="G46" s="3">
        <v>6272.0330301783197</v>
      </c>
      <c r="H46" s="3">
        <v>6320.6316133044502</v>
      </c>
      <c r="I46" s="3">
        <v>2230.6277325993401</v>
      </c>
      <c r="J46" s="3">
        <v>10885.770583965999</v>
      </c>
      <c r="K46" s="3">
        <v>9255.0187216321901</v>
      </c>
      <c r="L46" s="3">
        <v>14682.224190179501</v>
      </c>
      <c r="M46" s="3">
        <v>13531.7196835498</v>
      </c>
      <c r="N46" s="3">
        <v>28602.413022129102</v>
      </c>
      <c r="O46" s="3">
        <v>11968.6273333016</v>
      </c>
      <c r="P46" s="3">
        <v>14392.3980474041</v>
      </c>
    </row>
    <row r="47" spans="1:16" x14ac:dyDescent="0.2">
      <c r="A47" s="1" t="s">
        <v>54</v>
      </c>
      <c r="B47" s="3">
        <v>0</v>
      </c>
      <c r="C47" s="3">
        <v>77020.015968287204</v>
      </c>
      <c r="D47" s="3">
        <v>107905.903808427</v>
      </c>
      <c r="E47" s="3">
        <v>92490.229835903898</v>
      </c>
      <c r="F47" s="3">
        <v>201285.08473884099</v>
      </c>
      <c r="G47" s="3">
        <v>137099.592064939</v>
      </c>
      <c r="H47" s="3">
        <v>140827.34255263599</v>
      </c>
      <c r="I47" s="3">
        <v>56320.833926601503</v>
      </c>
      <c r="J47" s="3">
        <v>47559.363059330899</v>
      </c>
      <c r="K47" s="3">
        <v>42906.6947790388</v>
      </c>
      <c r="L47" s="3">
        <v>85142.935637283197</v>
      </c>
      <c r="M47" s="3">
        <v>87891.676915718795</v>
      </c>
      <c r="N47" s="3">
        <v>117168.71203936799</v>
      </c>
      <c r="O47" s="3">
        <v>79924.931531396607</v>
      </c>
      <c r="P47" s="3">
        <v>88382.644876498205</v>
      </c>
    </row>
    <row r="48" spans="1:16" x14ac:dyDescent="0.2">
      <c r="A48" s="1" t="s">
        <v>55</v>
      </c>
      <c r="B48" s="3">
        <v>0</v>
      </c>
      <c r="C48" s="3">
        <v>458.04489502345598</v>
      </c>
      <c r="D48" s="3">
        <v>5485.1278700652801</v>
      </c>
      <c r="E48" s="3">
        <v>1375.58385510937</v>
      </c>
      <c r="F48" s="3">
        <v>747.41714474365801</v>
      </c>
      <c r="G48" s="3">
        <v>3970.2110382568599</v>
      </c>
      <c r="H48" s="3">
        <v>2315.4788058583099</v>
      </c>
      <c r="I48" s="3">
        <v>59440.664627794402</v>
      </c>
      <c r="J48" s="3">
        <v>42895.447946184497</v>
      </c>
      <c r="K48" s="3">
        <v>44220.644735028101</v>
      </c>
      <c r="L48" s="3">
        <v>54279.868732349998</v>
      </c>
      <c r="M48" s="3">
        <v>50063.606457084999</v>
      </c>
      <c r="N48" s="3">
        <v>56545.375014683799</v>
      </c>
      <c r="O48" s="3">
        <v>18434.200922319</v>
      </c>
      <c r="P48" s="3">
        <v>26597.817315541899</v>
      </c>
    </row>
    <row r="49" spans="1:16" x14ac:dyDescent="0.2">
      <c r="A49" s="1" t="s">
        <v>56</v>
      </c>
      <c r="B49" s="3">
        <v>0</v>
      </c>
      <c r="C49" s="3">
        <v>0</v>
      </c>
      <c r="D49" s="3">
        <v>0</v>
      </c>
      <c r="E49" s="3">
        <v>0</v>
      </c>
      <c r="F49" s="3">
        <v>15420.320335007</v>
      </c>
      <c r="G49" s="3">
        <v>3560.3907523641501</v>
      </c>
      <c r="H49" s="3">
        <v>10907.911458619301</v>
      </c>
      <c r="I49" s="3">
        <v>100890.76947187301</v>
      </c>
      <c r="J49" s="3">
        <v>98182.789628407001</v>
      </c>
      <c r="K49" s="3">
        <v>109645.10281951301</v>
      </c>
      <c r="L49" s="3">
        <v>207094.51430778499</v>
      </c>
      <c r="M49" s="3">
        <v>219486.78536573099</v>
      </c>
      <c r="N49" s="3">
        <v>223616.122567677</v>
      </c>
      <c r="O49" s="3">
        <v>84531.693963525904</v>
      </c>
      <c r="P49" s="3">
        <v>72028.628280381905</v>
      </c>
    </row>
    <row r="50" spans="1:16" x14ac:dyDescent="0.2">
      <c r="A50" s="1" t="s">
        <v>57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107148.108213493</v>
      </c>
      <c r="J50" s="3">
        <v>141819.35196884201</v>
      </c>
      <c r="K50" s="3">
        <v>132292.68587649</v>
      </c>
      <c r="L50" s="3">
        <v>55721.487062545202</v>
      </c>
      <c r="M50" s="3">
        <v>47104.583760211397</v>
      </c>
      <c r="N50" s="3">
        <v>57628.170090722502</v>
      </c>
      <c r="O50" s="3">
        <v>48319.657629495501</v>
      </c>
      <c r="P50" s="3">
        <v>39346.058951743602</v>
      </c>
    </row>
    <row r="51" spans="1:16" x14ac:dyDescent="0.2">
      <c r="A51" s="1" t="s">
        <v>58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3" spans="1:16" x14ac:dyDescent="0.2">
      <c r="A53" s="1" t="s">
        <v>59</v>
      </c>
      <c r="B53" s="3">
        <v>1953720.3511723501</v>
      </c>
      <c r="C53" s="3">
        <v>1084952.17058268</v>
      </c>
      <c r="D53" s="3">
        <v>1823834.8180649499</v>
      </c>
      <c r="E53" s="3">
        <v>1231470.3344980299</v>
      </c>
      <c r="F53" s="3">
        <v>1898782.7414558099</v>
      </c>
      <c r="G53" s="3">
        <v>1105800.2032218799</v>
      </c>
      <c r="H53" s="3">
        <v>1498066.01788002</v>
      </c>
      <c r="I53" s="3">
        <v>2708266.1093805502</v>
      </c>
      <c r="J53" s="3">
        <v>2660292.7366586798</v>
      </c>
      <c r="K53" s="3">
        <v>2500219.1629330199</v>
      </c>
      <c r="L53" s="3">
        <v>2233737.40933026</v>
      </c>
      <c r="M53" s="3">
        <v>2777412.5496999901</v>
      </c>
      <c r="N53" s="3">
        <v>2590022.6359676798</v>
      </c>
      <c r="O53" s="3">
        <v>1924657.0878842699</v>
      </c>
      <c r="P53" s="3">
        <v>1981083.60344104</v>
      </c>
    </row>
    <row r="54" spans="1:16" x14ac:dyDescent="0.2">
      <c r="A54" s="1" t="s">
        <v>60</v>
      </c>
      <c r="B54" s="3">
        <v>0</v>
      </c>
      <c r="C54" s="3">
        <v>19598.410610173101</v>
      </c>
      <c r="D54" s="3">
        <v>40377.553709538399</v>
      </c>
      <c r="E54" s="3">
        <v>20010.620837947001</v>
      </c>
      <c r="F54" s="3">
        <v>47061.8205583077</v>
      </c>
      <c r="G54" s="3">
        <v>0</v>
      </c>
      <c r="H54" s="3">
        <v>29414.898615984399</v>
      </c>
      <c r="I54" s="3">
        <v>237622.19899384899</v>
      </c>
      <c r="J54" s="3">
        <v>211918.74164943499</v>
      </c>
      <c r="K54" s="3">
        <v>201949.80107856201</v>
      </c>
      <c r="L54" s="3">
        <v>143931.83841241201</v>
      </c>
      <c r="M54" s="3">
        <v>189145.43312727401</v>
      </c>
      <c r="N54" s="3">
        <v>180461.31553633299</v>
      </c>
      <c r="O54" s="3">
        <v>80394.757580021702</v>
      </c>
      <c r="P54" s="3">
        <v>84872.229178329799</v>
      </c>
    </row>
    <row r="55" spans="1:16" x14ac:dyDescent="0.2">
      <c r="A55" s="1" t="s">
        <v>61</v>
      </c>
      <c r="B55" s="3">
        <v>0</v>
      </c>
      <c r="C55" s="3">
        <v>24768.438656533399</v>
      </c>
      <c r="D55" s="3">
        <v>66473.849592493396</v>
      </c>
      <c r="E55" s="3">
        <v>32250.475957029001</v>
      </c>
      <c r="F55" s="3">
        <v>68073.043758193802</v>
      </c>
      <c r="G55" s="3">
        <v>29072.104412077701</v>
      </c>
      <c r="H55" s="3">
        <v>40201.992093829998</v>
      </c>
      <c r="I55" s="3">
        <v>220122.18582927401</v>
      </c>
      <c r="J55" s="3">
        <v>168754.31257373499</v>
      </c>
      <c r="K55" s="3">
        <v>188555.305462805</v>
      </c>
      <c r="L55" s="3">
        <v>142124.791750473</v>
      </c>
      <c r="M55" s="3">
        <v>174663.666495746</v>
      </c>
      <c r="N55" s="3">
        <v>176159.16493739001</v>
      </c>
      <c r="O55" s="3">
        <v>108006.36078039301</v>
      </c>
      <c r="P55" s="3">
        <v>104023.080016352</v>
      </c>
    </row>
    <row r="56" spans="1:16" x14ac:dyDescent="0.2">
      <c r="A56" s="1" t="s">
        <v>62</v>
      </c>
      <c r="B56" s="3">
        <v>0</v>
      </c>
      <c r="C56" s="3">
        <v>50531.622596457499</v>
      </c>
      <c r="D56" s="3">
        <v>77712.315097157101</v>
      </c>
      <c r="E56" s="3">
        <v>40418.087375708797</v>
      </c>
      <c r="F56" s="3">
        <v>64640.183562269798</v>
      </c>
      <c r="G56" s="3">
        <v>39857.720280527799</v>
      </c>
      <c r="H56" s="3">
        <v>56595.904186151703</v>
      </c>
      <c r="I56" s="3">
        <v>88520.748713115507</v>
      </c>
      <c r="J56" s="3">
        <v>76603.022062860895</v>
      </c>
      <c r="K56" s="3">
        <v>80721.387301782001</v>
      </c>
      <c r="L56" s="3">
        <v>70006.431589147498</v>
      </c>
      <c r="M56" s="3">
        <v>55892.514966541799</v>
      </c>
      <c r="N56" s="3">
        <v>75434.719315422495</v>
      </c>
      <c r="O56" s="3">
        <v>61991.123653281596</v>
      </c>
      <c r="P56" s="3">
        <v>62383.737162652098</v>
      </c>
    </row>
    <row r="57" spans="1:16" x14ac:dyDescent="0.2">
      <c r="A57" s="1" t="s">
        <v>63</v>
      </c>
      <c r="B57" s="3">
        <v>0</v>
      </c>
      <c r="C57" s="3">
        <v>9645.7145213991007</v>
      </c>
      <c r="D57" s="3">
        <v>25923.1628711054</v>
      </c>
      <c r="E57" s="3">
        <v>11975.318288745601</v>
      </c>
      <c r="F57" s="3">
        <v>9815.7340002760593</v>
      </c>
      <c r="G57" s="3">
        <v>4213.3670520075202</v>
      </c>
      <c r="H57" s="3">
        <v>12844.195971728799</v>
      </c>
      <c r="I57" s="3">
        <v>19617.311167678799</v>
      </c>
      <c r="J57" s="3">
        <v>14439.432058378599</v>
      </c>
      <c r="K57" s="3">
        <v>15396.3470359158</v>
      </c>
      <c r="L57" s="3">
        <v>17079.718235199402</v>
      </c>
      <c r="M57" s="3">
        <v>11609.2791994607</v>
      </c>
      <c r="N57" s="3">
        <v>15624.214788573199</v>
      </c>
      <c r="O57" s="3">
        <v>17616.933202127799</v>
      </c>
      <c r="P57" s="3">
        <v>14697.832398480299</v>
      </c>
    </row>
    <row r="58" spans="1:16" x14ac:dyDescent="0.2">
      <c r="A58" s="1" t="s">
        <v>64</v>
      </c>
      <c r="B58" s="3">
        <v>0</v>
      </c>
      <c r="C58" s="3">
        <v>69064.941494601502</v>
      </c>
      <c r="D58" s="3">
        <v>82696.503338839699</v>
      </c>
      <c r="E58" s="3">
        <v>59520.2401008323</v>
      </c>
      <c r="F58" s="3">
        <v>91312.387546843704</v>
      </c>
      <c r="G58" s="3">
        <v>48510.979514457402</v>
      </c>
      <c r="H58" s="3">
        <v>72700.208431357096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39937.441252812299</v>
      </c>
      <c r="P58" s="3">
        <v>34099.7029676893</v>
      </c>
    </row>
    <row r="59" spans="1:16" x14ac:dyDescent="0.2">
      <c r="A59" s="1" t="s">
        <v>65</v>
      </c>
      <c r="B59" s="3">
        <v>0</v>
      </c>
      <c r="C59" s="3">
        <v>1984.9873818485601</v>
      </c>
      <c r="D59" s="3">
        <v>2029.3547792455199</v>
      </c>
      <c r="E59" s="3">
        <v>0</v>
      </c>
      <c r="F59" s="3">
        <v>321.02442700535403</v>
      </c>
      <c r="G59" s="3">
        <v>0</v>
      </c>
      <c r="H59" s="3">
        <v>1738.4782079720601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</row>
    <row r="60" spans="1:16" x14ac:dyDescent="0.2">
      <c r="A60" s="1" t="s">
        <v>66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</row>
    <row r="61" spans="1:16" x14ac:dyDescent="0.2">
      <c r="A61" s="1" t="s">
        <v>67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1:16" x14ac:dyDescent="0.2">
      <c r="A62" s="1" t="s">
        <v>68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</row>
    <row r="63" spans="1:16" x14ac:dyDescent="0.2">
      <c r="A63" s="1" t="s">
        <v>69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5" spans="1:16" x14ac:dyDescent="0.2">
      <c r="A65" s="1" t="s">
        <v>70</v>
      </c>
      <c r="B65" s="3">
        <v>788757.08377509494</v>
      </c>
      <c r="C65" s="3">
        <v>391416.92610705801</v>
      </c>
      <c r="D65" s="3">
        <v>564114.36615407595</v>
      </c>
      <c r="E65" s="3">
        <v>532697.67105400399</v>
      </c>
      <c r="F65" s="3">
        <v>631613.29250926594</v>
      </c>
      <c r="G65" s="3">
        <v>493162.92070497898</v>
      </c>
      <c r="H65" s="3">
        <v>593437.88080057898</v>
      </c>
      <c r="I65" s="3">
        <v>870912.74113974697</v>
      </c>
      <c r="J65" s="3">
        <v>814242.72860384802</v>
      </c>
      <c r="K65" s="3">
        <v>883997.91137110302</v>
      </c>
      <c r="L65" s="3">
        <v>730430.62160598196</v>
      </c>
      <c r="M65" s="3">
        <v>932877.13753366005</v>
      </c>
      <c r="N65" s="3">
        <v>933098.29534038703</v>
      </c>
      <c r="O65" s="3">
        <v>656552.74457292003</v>
      </c>
      <c r="P65" s="3">
        <v>676864.63707460195</v>
      </c>
    </row>
    <row r="66" spans="1:16" x14ac:dyDescent="0.2">
      <c r="A66" s="1" t="s">
        <v>71</v>
      </c>
      <c r="B66" s="3">
        <v>0</v>
      </c>
      <c r="C66" s="3">
        <v>1191.90319234903</v>
      </c>
      <c r="D66" s="3">
        <v>14293.6412709126</v>
      </c>
      <c r="E66" s="3">
        <v>5034.7021484880597</v>
      </c>
      <c r="F66" s="3">
        <v>19603.4190526245</v>
      </c>
      <c r="G66" s="3">
        <v>14174.4874762246</v>
      </c>
      <c r="H66" s="3">
        <v>11396.142266077</v>
      </c>
      <c r="I66" s="3">
        <v>71271.432871465702</v>
      </c>
      <c r="J66" s="3">
        <v>74043.091967314904</v>
      </c>
      <c r="K66" s="3">
        <v>78843.978933995895</v>
      </c>
      <c r="L66" s="3">
        <v>57764.382901564299</v>
      </c>
      <c r="M66" s="3">
        <v>77787.636541501604</v>
      </c>
      <c r="N66" s="3">
        <v>60175.825076434303</v>
      </c>
      <c r="O66" s="3">
        <v>37356.165005466602</v>
      </c>
      <c r="P66" s="3">
        <v>35901.755315242801</v>
      </c>
    </row>
    <row r="67" spans="1:16" x14ac:dyDescent="0.2">
      <c r="A67" s="1" t="s">
        <v>72</v>
      </c>
      <c r="B67" s="3">
        <v>0</v>
      </c>
      <c r="C67" s="3">
        <v>15362.253337682099</v>
      </c>
      <c r="D67" s="3">
        <v>20250.263596095901</v>
      </c>
      <c r="E67" s="3">
        <v>13782.089436005101</v>
      </c>
      <c r="F67" s="3">
        <v>19399.672248307801</v>
      </c>
      <c r="G67" s="3">
        <v>10572.0721903957</v>
      </c>
      <c r="H67" s="3">
        <v>12947.2163007456</v>
      </c>
      <c r="I67" s="3">
        <v>83425.1019287401</v>
      </c>
      <c r="J67" s="3">
        <v>56194.3297517584</v>
      </c>
      <c r="K67" s="3">
        <v>77367.719486899907</v>
      </c>
      <c r="L67" s="3">
        <v>53310.975140183</v>
      </c>
      <c r="M67" s="3">
        <v>64458.618677500897</v>
      </c>
      <c r="N67" s="3">
        <v>68194.834053282902</v>
      </c>
      <c r="O67" s="3">
        <v>36103.242134739601</v>
      </c>
      <c r="P67" s="3">
        <v>34026.973002089901</v>
      </c>
    </row>
    <row r="68" spans="1:16" x14ac:dyDescent="0.2">
      <c r="A68" s="1" t="s">
        <v>73</v>
      </c>
      <c r="B68" s="3">
        <v>0</v>
      </c>
      <c r="C68" s="3">
        <v>26587.805176399201</v>
      </c>
      <c r="D68" s="3">
        <v>18305.840787479501</v>
      </c>
      <c r="E68" s="3">
        <v>17548.535814706302</v>
      </c>
      <c r="F68" s="3">
        <v>24789.797523317</v>
      </c>
      <c r="G68" s="3">
        <v>16171.5304983571</v>
      </c>
      <c r="H68" s="3">
        <v>19293.9253651789</v>
      </c>
      <c r="I68" s="3">
        <v>23085.027704013999</v>
      </c>
      <c r="J68" s="3">
        <v>16789.582073569502</v>
      </c>
      <c r="K68" s="3">
        <v>18220.394178228598</v>
      </c>
      <c r="L68" s="3">
        <v>17204.989584272302</v>
      </c>
      <c r="M68" s="3">
        <v>18713.7752070602</v>
      </c>
      <c r="N68" s="3">
        <v>21736.709760388199</v>
      </c>
      <c r="O68" s="3">
        <v>18797.3632563598</v>
      </c>
      <c r="P68" s="3">
        <v>19694.139783963299</v>
      </c>
    </row>
    <row r="69" spans="1:16" x14ac:dyDescent="0.2">
      <c r="A69" s="1" t="s">
        <v>74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4579.9349874479403</v>
      </c>
      <c r="J69" s="3">
        <v>4729.4951882537598</v>
      </c>
      <c r="K69" s="3">
        <v>0</v>
      </c>
      <c r="L69" s="3">
        <v>0</v>
      </c>
      <c r="M69" s="3">
        <v>4588.5972810266703</v>
      </c>
      <c r="N69" s="3">
        <v>0</v>
      </c>
      <c r="O69" s="3">
        <v>0</v>
      </c>
      <c r="P69" s="3">
        <v>0</v>
      </c>
    </row>
    <row r="70" spans="1:16" x14ac:dyDescent="0.2">
      <c r="A70" s="1" t="s">
        <v>75</v>
      </c>
      <c r="B70" s="3">
        <v>0</v>
      </c>
      <c r="C70" s="3">
        <v>20862.547922280599</v>
      </c>
      <c r="D70" s="3">
        <v>24852.111571474299</v>
      </c>
      <c r="E70" s="3">
        <v>25956.3436070643</v>
      </c>
      <c r="F70" s="3">
        <v>29081.053024291701</v>
      </c>
      <c r="G70" s="3">
        <v>24800.4642718697</v>
      </c>
      <c r="H70" s="3">
        <v>28011.733839141001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12786.775685255399</v>
      </c>
      <c r="P70" s="3">
        <v>12825.714618689901</v>
      </c>
    </row>
    <row r="71" spans="1:16" x14ac:dyDescent="0.2">
      <c r="A71" s="1" t="s">
        <v>76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1:16" x14ac:dyDescent="0.2">
      <c r="A72" s="1" t="s">
        <v>77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</row>
    <row r="73" spans="1:16" x14ac:dyDescent="0.2">
      <c r="A73" s="1" t="s">
        <v>78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1:16" x14ac:dyDescent="0.2">
      <c r="A74" s="1" t="s">
        <v>79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1:16" x14ac:dyDescent="0.2">
      <c r="A75" s="1" t="s">
        <v>80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7" spans="1:16" x14ac:dyDescent="0.2">
      <c r="A77" s="1" t="s">
        <v>81</v>
      </c>
      <c r="B77" s="3">
        <v>2207770.7952410001</v>
      </c>
      <c r="C77" s="3">
        <v>1608882.3154527</v>
      </c>
      <c r="D77" s="3">
        <v>2647931.6531794402</v>
      </c>
      <c r="E77" s="3">
        <v>2231696.2734123399</v>
      </c>
      <c r="F77" s="3">
        <v>3734424.30476363</v>
      </c>
      <c r="G77" s="3">
        <v>2404608.80851092</v>
      </c>
      <c r="H77" s="3">
        <v>2629737.21025552</v>
      </c>
      <c r="I77" s="3">
        <v>1471537.1098086601</v>
      </c>
      <c r="J77" s="3">
        <v>1369850.1692504699</v>
      </c>
      <c r="K77" s="3">
        <v>1589048.94069075</v>
      </c>
      <c r="L77" s="3">
        <v>1946723.8643622799</v>
      </c>
      <c r="M77" s="3">
        <v>1746926.7847444799</v>
      </c>
      <c r="N77" s="3">
        <v>1959695.2572896001</v>
      </c>
      <c r="O77" s="3">
        <v>2109712.9180384702</v>
      </c>
      <c r="P77" s="3">
        <v>2052608.47728116</v>
      </c>
    </row>
    <row r="78" spans="1:16" x14ac:dyDescent="0.2">
      <c r="A78" s="1" t="s">
        <v>82</v>
      </c>
      <c r="B78" s="3">
        <v>0</v>
      </c>
      <c r="C78" s="3">
        <v>11409.0445694101</v>
      </c>
      <c r="D78" s="3">
        <v>20222.7015567493</v>
      </c>
      <c r="E78" s="3">
        <v>16715.850463404498</v>
      </c>
      <c r="F78" s="3">
        <v>45059.969353350702</v>
      </c>
      <c r="G78" s="3">
        <v>34264.784195308101</v>
      </c>
      <c r="H78" s="3">
        <v>37067.928337830199</v>
      </c>
      <c r="I78" s="3">
        <v>29466.354470824801</v>
      </c>
      <c r="J78" s="3">
        <v>22738.9782752836</v>
      </c>
      <c r="K78" s="3">
        <v>28087.5905192307</v>
      </c>
      <c r="L78" s="3">
        <v>56255.913064804699</v>
      </c>
      <c r="M78" s="3">
        <v>57973.104943344799</v>
      </c>
      <c r="N78" s="3">
        <v>58340.848636401402</v>
      </c>
      <c r="O78" s="3">
        <v>33217.5266103084</v>
      </c>
      <c r="P78" s="3">
        <v>36885.842801576902</v>
      </c>
    </row>
    <row r="79" spans="1:16" x14ac:dyDescent="0.2">
      <c r="A79" s="1" t="s">
        <v>83</v>
      </c>
      <c r="B79" s="3">
        <v>0</v>
      </c>
      <c r="C79" s="3">
        <v>42345.496251216799</v>
      </c>
      <c r="D79" s="3">
        <v>79377.384373404799</v>
      </c>
      <c r="E79" s="3">
        <v>56093.730770099603</v>
      </c>
      <c r="F79" s="3">
        <v>213305.3617867</v>
      </c>
      <c r="G79" s="3">
        <v>133187.22708466501</v>
      </c>
      <c r="H79" s="3">
        <v>160792.863695601</v>
      </c>
      <c r="I79" s="3">
        <v>105132.899122951</v>
      </c>
      <c r="J79" s="3">
        <v>81601.409368175693</v>
      </c>
      <c r="K79" s="3">
        <v>95522.694168733797</v>
      </c>
      <c r="L79" s="3">
        <v>195681.869210509</v>
      </c>
      <c r="M79" s="3">
        <v>191402.696761278</v>
      </c>
      <c r="N79" s="3">
        <v>206887.52911613599</v>
      </c>
      <c r="O79" s="3">
        <v>127976.433755151</v>
      </c>
      <c r="P79" s="3">
        <v>127090.18847866201</v>
      </c>
    </row>
    <row r="80" spans="1:16" x14ac:dyDescent="0.2">
      <c r="A80" s="1" t="s">
        <v>84</v>
      </c>
      <c r="B80" s="3">
        <v>0</v>
      </c>
      <c r="C80" s="3">
        <v>15794.058929163501</v>
      </c>
      <c r="D80" s="3">
        <v>27372.517992544101</v>
      </c>
      <c r="E80" s="3">
        <v>21000.288183839501</v>
      </c>
      <c r="F80" s="3">
        <v>46283.6184115953</v>
      </c>
      <c r="G80" s="3">
        <v>27836.789212287898</v>
      </c>
      <c r="H80" s="3">
        <v>32304.2818414588</v>
      </c>
      <c r="I80" s="3">
        <v>114931.964882309</v>
      </c>
      <c r="J80" s="3">
        <v>94663.424264746194</v>
      </c>
      <c r="K80" s="3">
        <v>105474.526889694</v>
      </c>
      <c r="L80" s="3">
        <v>81544.925316862005</v>
      </c>
      <c r="M80" s="3">
        <v>74139.9604536119</v>
      </c>
      <c r="N80" s="3">
        <v>95684.903825768604</v>
      </c>
      <c r="O80" s="3">
        <v>63091.3417037615</v>
      </c>
      <c r="P80" s="3">
        <v>60125.685458599699</v>
      </c>
    </row>
    <row r="81" spans="1:16" x14ac:dyDescent="0.2">
      <c r="A81" s="1" t="s">
        <v>85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482977.07407429098</v>
      </c>
      <c r="J81" s="3">
        <v>380897.87533134501</v>
      </c>
      <c r="K81" s="3">
        <v>414639.26872700901</v>
      </c>
      <c r="L81" s="3">
        <v>645178.37508413102</v>
      </c>
      <c r="M81" s="3">
        <v>600592.34747749299</v>
      </c>
      <c r="N81" s="3">
        <v>733439.47943568404</v>
      </c>
      <c r="O81" s="3">
        <v>273045.55686156498</v>
      </c>
      <c r="P81" s="3">
        <v>267364.28631593997</v>
      </c>
    </row>
    <row r="83" spans="1:16" x14ac:dyDescent="0.2">
      <c r="A83" s="1" t="s">
        <v>86</v>
      </c>
      <c r="B83" s="3">
        <v>16453081.9437274</v>
      </c>
      <c r="C83" s="3">
        <v>13779409.159761701</v>
      </c>
      <c r="D83" s="3">
        <v>20059549.210288901</v>
      </c>
      <c r="E83" s="3">
        <v>16439692.9607515</v>
      </c>
      <c r="F83" s="3">
        <v>18792864.5213833</v>
      </c>
      <c r="G83" s="3">
        <v>14542185.7860395</v>
      </c>
      <c r="H83" s="3">
        <v>14796770.8133824</v>
      </c>
      <c r="I83" s="3">
        <v>18481099.031415299</v>
      </c>
      <c r="J83" s="3">
        <v>20019941.8576295</v>
      </c>
      <c r="K83" s="3">
        <v>18167338.653352201</v>
      </c>
      <c r="L83" s="3">
        <v>18809377.637619</v>
      </c>
      <c r="M83" s="3">
        <v>21208048.507629801</v>
      </c>
      <c r="N83" s="3">
        <v>22417429.868462</v>
      </c>
      <c r="O83" s="3">
        <v>17285249.6242624</v>
      </c>
      <c r="P83" s="3">
        <v>17332515.962177899</v>
      </c>
    </row>
    <row r="84" spans="1:16" x14ac:dyDescent="0.2">
      <c r="A84" s="1" t="s">
        <v>87</v>
      </c>
      <c r="B84" s="3">
        <v>0</v>
      </c>
      <c r="C84" s="3">
        <v>43146.813578272202</v>
      </c>
      <c r="D84" s="3">
        <v>233685.18569508599</v>
      </c>
      <c r="E84" s="3">
        <v>101530.670666066</v>
      </c>
      <c r="F84" s="3">
        <v>192630.86564083199</v>
      </c>
      <c r="G84" s="3">
        <v>50805.443641633297</v>
      </c>
      <c r="H84" s="3">
        <v>90194.924586480294</v>
      </c>
      <c r="I84" s="3">
        <v>1383785.16739314</v>
      </c>
      <c r="J84" s="3">
        <v>1476357.29713888</v>
      </c>
      <c r="K84" s="3">
        <v>1283845.8567136801</v>
      </c>
      <c r="L84" s="3">
        <v>1239897.1897118201</v>
      </c>
      <c r="M84" s="3">
        <v>1386472.1520899399</v>
      </c>
      <c r="N84" s="3">
        <v>1653993.1921270699</v>
      </c>
      <c r="O84" s="3">
        <v>753016.49665302504</v>
      </c>
      <c r="P84" s="3">
        <v>638411.58184482402</v>
      </c>
    </row>
    <row r="85" spans="1:16" x14ac:dyDescent="0.2">
      <c r="A85" s="1" t="s">
        <v>88</v>
      </c>
      <c r="B85" s="3">
        <v>0</v>
      </c>
      <c r="C85" s="3">
        <v>463834.5572484</v>
      </c>
      <c r="D85" s="3">
        <v>801160.84859749896</v>
      </c>
      <c r="E85" s="3">
        <v>585755.41428402497</v>
      </c>
      <c r="F85" s="3">
        <v>674606.74614662002</v>
      </c>
      <c r="G85" s="3">
        <v>438834.85635860497</v>
      </c>
      <c r="H85" s="3">
        <v>502288.29855325603</v>
      </c>
      <c r="I85" s="3">
        <v>1364079.0758198099</v>
      </c>
      <c r="J85" s="3">
        <v>1459469.2987043001</v>
      </c>
      <c r="K85" s="3">
        <v>1354806.70016101</v>
      </c>
      <c r="L85" s="3">
        <v>1236186.9316825401</v>
      </c>
      <c r="M85" s="3">
        <v>1356378.6697861899</v>
      </c>
      <c r="N85" s="3">
        <v>1563341.26179348</v>
      </c>
      <c r="O85" s="3">
        <v>963434.03933628299</v>
      </c>
      <c r="P85" s="3">
        <v>938711.91777149902</v>
      </c>
    </row>
    <row r="86" spans="1:16" x14ac:dyDescent="0.2">
      <c r="A86" s="1" t="s">
        <v>89</v>
      </c>
      <c r="B86" s="3">
        <v>0</v>
      </c>
      <c r="C86" s="3">
        <v>554079.45272991899</v>
      </c>
      <c r="D86" s="3">
        <v>763839.43748477602</v>
      </c>
      <c r="E86" s="3">
        <v>606926.809277419</v>
      </c>
      <c r="F86" s="3">
        <v>650882.06428828696</v>
      </c>
      <c r="G86" s="3">
        <v>481393.14272679703</v>
      </c>
      <c r="H86" s="3">
        <v>545005.94892554998</v>
      </c>
      <c r="I86" s="3">
        <v>629700.78932081303</v>
      </c>
      <c r="J86" s="3">
        <v>595899.28663540306</v>
      </c>
      <c r="K86" s="3">
        <v>603083.76180882996</v>
      </c>
      <c r="L86" s="3">
        <v>537231.42068386101</v>
      </c>
      <c r="M86" s="3">
        <v>574341.56184297905</v>
      </c>
      <c r="N86" s="3">
        <v>680411.00563800102</v>
      </c>
      <c r="O86" s="3">
        <v>597249.90519781399</v>
      </c>
      <c r="P86" s="3">
        <v>605778.83591291099</v>
      </c>
    </row>
    <row r="87" spans="1:16" x14ac:dyDescent="0.2">
      <c r="A87" s="1" t="s">
        <v>90</v>
      </c>
      <c r="B87" s="3">
        <v>0</v>
      </c>
      <c r="C87" s="3">
        <v>124285.378138418</v>
      </c>
      <c r="D87" s="3">
        <v>183649.337235068</v>
      </c>
      <c r="E87" s="3">
        <v>146536.665871426</v>
      </c>
      <c r="F87" s="3">
        <v>160065.44097721801</v>
      </c>
      <c r="G87" s="3">
        <v>110014.76710565601</v>
      </c>
      <c r="H87" s="3">
        <v>123700.718457275</v>
      </c>
      <c r="I87" s="3">
        <v>134266.12397160899</v>
      </c>
      <c r="J87" s="3">
        <v>143327.103764439</v>
      </c>
      <c r="K87" s="3">
        <v>133399.803048378</v>
      </c>
      <c r="L87" s="3">
        <v>111567.00471893301</v>
      </c>
      <c r="M87" s="3">
        <v>109502.3716061</v>
      </c>
      <c r="N87" s="3">
        <v>146544.84548149799</v>
      </c>
      <c r="O87" s="3">
        <v>127874.186353932</v>
      </c>
      <c r="P87" s="3">
        <v>122800.200654488</v>
      </c>
    </row>
    <row r="88" spans="1:16" x14ac:dyDescent="0.2">
      <c r="A88" s="1" t="s">
        <v>91</v>
      </c>
      <c r="B88" s="3">
        <v>0</v>
      </c>
      <c r="C88" s="3">
        <v>692270.74562310101</v>
      </c>
      <c r="D88" s="3">
        <v>931292.33898708003</v>
      </c>
      <c r="E88" s="3">
        <v>734152.48843334406</v>
      </c>
      <c r="F88" s="3">
        <v>854380.61132273602</v>
      </c>
      <c r="G88" s="3">
        <v>581626.68064685701</v>
      </c>
      <c r="H88" s="3">
        <v>669772.599223695</v>
      </c>
      <c r="I88" s="3">
        <v>8678.1483513069797</v>
      </c>
      <c r="J88" s="3">
        <v>8514.7779713823402</v>
      </c>
      <c r="K88" s="3">
        <v>19497.352357592499</v>
      </c>
      <c r="L88" s="3">
        <v>16898.277713950702</v>
      </c>
      <c r="M88" s="3">
        <v>63.2072836032658</v>
      </c>
      <c r="N88" s="3">
        <v>13052.803378352501</v>
      </c>
      <c r="O88" s="3">
        <v>381789.96295416303</v>
      </c>
      <c r="P88" s="3">
        <v>352717.10855518602</v>
      </c>
    </row>
    <row r="89" spans="1:16" x14ac:dyDescent="0.2">
      <c r="A89" s="1" t="s">
        <v>92</v>
      </c>
      <c r="B89" s="3">
        <v>0</v>
      </c>
      <c r="C89" s="3">
        <v>34826.490129196303</v>
      </c>
      <c r="D89" s="3">
        <v>49943.428643002597</v>
      </c>
      <c r="E89" s="3">
        <v>35064.343927161899</v>
      </c>
      <c r="F89" s="3">
        <v>46187.911951581198</v>
      </c>
      <c r="G89" s="3">
        <v>28671.957005178901</v>
      </c>
      <c r="H89" s="3">
        <v>42722.0646933674</v>
      </c>
      <c r="I89" s="3">
        <v>0</v>
      </c>
      <c r="J89" s="3">
        <v>0</v>
      </c>
      <c r="K89" s="3">
        <v>3359.9036738734399</v>
      </c>
      <c r="L89" s="3">
        <v>5563.9679401058402</v>
      </c>
      <c r="M89" s="3">
        <v>0</v>
      </c>
      <c r="N89" s="3">
        <v>4251.7879607574396</v>
      </c>
      <c r="O89" s="3">
        <v>24370.099364907899</v>
      </c>
      <c r="P89" s="3">
        <v>26005.4918065778</v>
      </c>
    </row>
    <row r="90" spans="1:16" x14ac:dyDescent="0.2">
      <c r="A90" s="1" t="s">
        <v>93</v>
      </c>
      <c r="B90" s="3">
        <v>0</v>
      </c>
      <c r="C90" s="3">
        <v>13128.611182439499</v>
      </c>
      <c r="D90" s="3">
        <v>26623.860952797899</v>
      </c>
      <c r="E90" s="3">
        <v>20499.022209606199</v>
      </c>
      <c r="F90" s="3">
        <v>15318.7564610263</v>
      </c>
      <c r="G90" s="3">
        <v>12533.663830060699</v>
      </c>
      <c r="H90" s="3">
        <v>15955.1317973555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9352.8620661731802</v>
      </c>
      <c r="P90" s="3">
        <v>7379.8888071647098</v>
      </c>
    </row>
    <row r="91" spans="1:16" x14ac:dyDescent="0.2">
      <c r="A91" s="1" t="s">
        <v>94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</row>
    <row r="92" spans="1:16" x14ac:dyDescent="0.2">
      <c r="A92" s="1" t="s">
        <v>95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1:16" x14ac:dyDescent="0.2">
      <c r="A93" s="1" t="s">
        <v>96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5" spans="1:16" x14ac:dyDescent="0.2">
      <c r="A95" s="1" t="s">
        <v>97</v>
      </c>
      <c r="B95" s="3">
        <v>63252.418343332698</v>
      </c>
      <c r="C95" s="3">
        <v>37066.166805081899</v>
      </c>
      <c r="D95" s="3">
        <v>77931.300876143301</v>
      </c>
      <c r="E95" s="3">
        <v>48993.311199028103</v>
      </c>
      <c r="F95" s="3">
        <v>79955.060117572299</v>
      </c>
      <c r="G95" s="3">
        <v>43476.578856398897</v>
      </c>
      <c r="H95" s="3">
        <v>57891.444763280699</v>
      </c>
      <c r="I95" s="3">
        <v>84111.941135857007</v>
      </c>
      <c r="J95" s="3">
        <v>90337.872950646299</v>
      </c>
      <c r="K95" s="3">
        <v>104071.156187243</v>
      </c>
      <c r="L95" s="3">
        <v>67542.964682694204</v>
      </c>
      <c r="M95" s="3">
        <v>95139.882460740206</v>
      </c>
      <c r="N95" s="3">
        <v>90120.252551868194</v>
      </c>
      <c r="O95" s="3">
        <v>61674.946620210001</v>
      </c>
      <c r="P95" s="3">
        <v>73673.8946990322</v>
      </c>
    </row>
    <row r="96" spans="1:16" x14ac:dyDescent="0.2">
      <c r="A96" s="1" t="s">
        <v>98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1:16" x14ac:dyDescent="0.2">
      <c r="A97" s="1" t="s">
        <v>99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1:16" x14ac:dyDescent="0.2">
      <c r="A98" s="1" t="s">
        <v>100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1:16" x14ac:dyDescent="0.2">
      <c r="A99" s="1" t="s">
        <v>101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1:16" x14ac:dyDescent="0.2">
      <c r="A100" s="1" t="s">
        <v>102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</row>
    <row r="101" spans="1:16" x14ac:dyDescent="0.2">
      <c r="A101" s="1" t="s">
        <v>103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1:16" x14ac:dyDescent="0.2">
      <c r="A102" s="1" t="s">
        <v>104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</row>
    <row r="103" spans="1:16" x14ac:dyDescent="0.2">
      <c r="A103" s="1" t="s">
        <v>105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</row>
    <row r="104" spans="1:16" x14ac:dyDescent="0.2">
      <c r="A104" s="1" t="s">
        <v>106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</row>
    <row r="106" spans="1:16" x14ac:dyDescent="0.2">
      <c r="A106" s="1" t="s">
        <v>107</v>
      </c>
      <c r="B106" s="3">
        <v>5176586.8989919098</v>
      </c>
      <c r="C106" s="3">
        <v>4576908.7229495002</v>
      </c>
      <c r="D106" s="3">
        <v>7119999.1211783104</v>
      </c>
      <c r="E106" s="3">
        <v>6238318.1505083796</v>
      </c>
      <c r="F106" s="3">
        <v>6461883.6014037104</v>
      </c>
      <c r="G106" s="3">
        <v>5456364.8321464397</v>
      </c>
      <c r="H106" s="3">
        <v>4546873.0930641396</v>
      </c>
      <c r="I106" s="3">
        <v>5413404.2745397603</v>
      </c>
      <c r="J106" s="3">
        <v>5950440.0972936898</v>
      </c>
      <c r="K106" s="3">
        <v>6310987.3410692299</v>
      </c>
      <c r="L106" s="3">
        <v>6501570.9838462397</v>
      </c>
      <c r="M106" s="3">
        <v>6428088.5754271103</v>
      </c>
      <c r="N106" s="3">
        <v>6399830.0563148502</v>
      </c>
      <c r="O106" s="3">
        <v>6025543.5983422697</v>
      </c>
      <c r="P106" s="3">
        <v>5708156.7436313704</v>
      </c>
    </row>
    <row r="107" spans="1:16" x14ac:dyDescent="0.2">
      <c r="A107" s="1" t="s">
        <v>108</v>
      </c>
      <c r="B107" s="3">
        <v>0</v>
      </c>
      <c r="C107" s="3">
        <v>13593.678121688101</v>
      </c>
      <c r="D107" s="3">
        <v>3316.3045633120901</v>
      </c>
      <c r="E107" s="3">
        <v>12828.1558648097</v>
      </c>
      <c r="F107" s="3">
        <v>18139.486871799701</v>
      </c>
      <c r="G107" s="3">
        <v>10178.8042873537</v>
      </c>
      <c r="H107" s="3">
        <v>22390.679935849901</v>
      </c>
      <c r="I107" s="3">
        <v>0</v>
      </c>
      <c r="J107" s="3">
        <v>0</v>
      </c>
      <c r="K107" s="3">
        <v>8477.9853178819794</v>
      </c>
      <c r="L107" s="3">
        <v>61972.402830761101</v>
      </c>
      <c r="M107" s="3">
        <v>66164.873230227196</v>
      </c>
      <c r="N107" s="3">
        <v>106359.172513467</v>
      </c>
      <c r="O107" s="3">
        <v>24643.409882592201</v>
      </c>
      <c r="P107" s="3">
        <v>24462.144583736699</v>
      </c>
    </row>
    <row r="108" spans="1:16" x14ac:dyDescent="0.2">
      <c r="A108" s="1" t="s">
        <v>109</v>
      </c>
      <c r="B108" s="3">
        <v>0</v>
      </c>
      <c r="C108" s="3">
        <v>375110.540715312</v>
      </c>
      <c r="D108" s="3">
        <v>553095.45205874601</v>
      </c>
      <c r="E108" s="3">
        <v>425282.26879332901</v>
      </c>
      <c r="F108" s="3">
        <v>1079300.01505314</v>
      </c>
      <c r="G108" s="3">
        <v>804682.68606173096</v>
      </c>
      <c r="H108" s="3">
        <v>877139.25709901704</v>
      </c>
      <c r="I108" s="3">
        <v>257740.745016375</v>
      </c>
      <c r="J108" s="3">
        <v>261038.83802205001</v>
      </c>
      <c r="K108" s="3">
        <v>269874.02547883597</v>
      </c>
      <c r="L108" s="3">
        <v>468695.06737902103</v>
      </c>
      <c r="M108" s="3">
        <v>532108.55127653701</v>
      </c>
      <c r="N108" s="3">
        <v>478855.87207221001</v>
      </c>
      <c r="O108" s="3">
        <v>511374.017799658</v>
      </c>
      <c r="P108" s="3">
        <v>554766.68642968801</v>
      </c>
    </row>
    <row r="109" spans="1:16" x14ac:dyDescent="0.2">
      <c r="A109" s="1" t="s">
        <v>110</v>
      </c>
      <c r="B109" s="3">
        <v>0</v>
      </c>
      <c r="C109" s="3">
        <v>50915.483900003899</v>
      </c>
      <c r="D109" s="3">
        <v>59486.523719364697</v>
      </c>
      <c r="E109" s="3">
        <v>55015.699037624101</v>
      </c>
      <c r="F109" s="3">
        <v>111206.91484770201</v>
      </c>
      <c r="G109" s="3">
        <v>76271.797172326595</v>
      </c>
      <c r="H109" s="3">
        <v>88439.604794032901</v>
      </c>
      <c r="I109" s="3">
        <v>356780.70978067798</v>
      </c>
      <c r="J109" s="3">
        <v>355470.326269101</v>
      </c>
      <c r="K109" s="3">
        <v>385097.90629887802</v>
      </c>
      <c r="L109" s="3">
        <v>312669.75508587598</v>
      </c>
      <c r="M109" s="3">
        <v>323839.27625713899</v>
      </c>
      <c r="N109" s="3">
        <v>365933.76480185398</v>
      </c>
      <c r="O109" s="3">
        <v>195245.32850300899</v>
      </c>
      <c r="P109" s="3">
        <v>234830.57527082201</v>
      </c>
    </row>
    <row r="110" spans="1:16" x14ac:dyDescent="0.2">
      <c r="A110" s="1" t="s">
        <v>111</v>
      </c>
      <c r="B110" s="3">
        <v>0</v>
      </c>
      <c r="C110" s="3">
        <v>30540.252189783001</v>
      </c>
      <c r="D110" s="3">
        <v>31404.106591042299</v>
      </c>
      <c r="E110" s="3">
        <v>25834.3165697115</v>
      </c>
      <c r="F110" s="3">
        <v>100485.440473847</v>
      </c>
      <c r="G110" s="3">
        <v>69687.252520293696</v>
      </c>
      <c r="H110" s="3">
        <v>86315.864963458502</v>
      </c>
      <c r="I110" s="3">
        <v>969178.34556662303</v>
      </c>
      <c r="J110" s="3">
        <v>823446.84048873303</v>
      </c>
      <c r="K110" s="3">
        <v>791273.323278261</v>
      </c>
      <c r="L110" s="3">
        <v>1538776.59678479</v>
      </c>
      <c r="M110" s="3">
        <v>1637884.41611804</v>
      </c>
      <c r="N110" s="3">
        <v>1726904.1692618399</v>
      </c>
      <c r="O110" s="3">
        <v>638865.35658065497</v>
      </c>
      <c r="P110" s="3">
        <v>588682.86776825995</v>
      </c>
    </row>
    <row r="111" spans="1:16" x14ac:dyDescent="0.2">
      <c r="A111" s="1" t="s">
        <v>112</v>
      </c>
      <c r="B111" s="3">
        <v>0</v>
      </c>
      <c r="C111" s="3">
        <v>7723.1811706028402</v>
      </c>
      <c r="D111" s="3">
        <v>10258.1934988586</v>
      </c>
      <c r="E111" s="3">
        <v>5437.9635177065902</v>
      </c>
      <c r="F111" s="3">
        <v>16265.635718191401</v>
      </c>
      <c r="G111" s="3">
        <v>12517.0502028069</v>
      </c>
      <c r="H111" s="3">
        <v>22767.6329352141</v>
      </c>
      <c r="I111" s="3">
        <v>651377.68532344303</v>
      </c>
      <c r="J111" s="3">
        <v>698080.71517616103</v>
      </c>
      <c r="K111" s="3">
        <v>634401.640230602</v>
      </c>
      <c r="L111" s="3">
        <v>214700.75649786901</v>
      </c>
      <c r="M111" s="3">
        <v>210252.427004097</v>
      </c>
      <c r="N111" s="3">
        <v>274310.056928312</v>
      </c>
      <c r="O111" s="3">
        <v>228894.310547895</v>
      </c>
      <c r="P111" s="3">
        <v>230087.09033646301</v>
      </c>
    </row>
    <row r="112" spans="1:16" x14ac:dyDescent="0.2">
      <c r="A112" s="1" t="s">
        <v>113</v>
      </c>
      <c r="B112" s="3">
        <v>0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19939.5748816286</v>
      </c>
      <c r="J112" s="3">
        <v>9464.4750653630908</v>
      </c>
      <c r="K112" s="3">
        <v>14895.8378853467</v>
      </c>
      <c r="L112" s="3">
        <v>23962.099710312501</v>
      </c>
      <c r="M112" s="3">
        <v>20293.039288604701</v>
      </c>
      <c r="N112" s="3">
        <v>20733.633969307899</v>
      </c>
      <c r="O112" s="3">
        <v>11686.8598758269</v>
      </c>
      <c r="P112" s="3">
        <v>11008.811379298901</v>
      </c>
    </row>
    <row r="114" spans="1:16" x14ac:dyDescent="0.2">
      <c r="A114" s="1" t="s">
        <v>114</v>
      </c>
      <c r="B114" s="3">
        <v>8267.3658094186394</v>
      </c>
      <c r="C114" s="3">
        <v>6510.9372101434301</v>
      </c>
      <c r="D114" s="3">
        <v>6212.6757498891502</v>
      </c>
      <c r="E114" s="3">
        <v>6320.9336132407097</v>
      </c>
      <c r="F114" s="3">
        <v>5067.1308080977096</v>
      </c>
      <c r="G114" s="3">
        <v>5936.5077311351897</v>
      </c>
      <c r="H114" s="3">
        <v>6283.3747626901704</v>
      </c>
      <c r="I114" s="3">
        <v>11399.111142088601</v>
      </c>
      <c r="J114" s="3">
        <v>6269.0140257149596</v>
      </c>
      <c r="K114" s="3">
        <v>9699.0208186391792</v>
      </c>
      <c r="L114" s="3">
        <v>4098.3333983088096</v>
      </c>
      <c r="M114" s="3">
        <v>10297.753083297799</v>
      </c>
      <c r="N114" s="3">
        <v>4072.92594058345</v>
      </c>
      <c r="O114" s="3">
        <v>9130.1147000060191</v>
      </c>
      <c r="P114" s="3">
        <v>6114.3599352127403</v>
      </c>
    </row>
    <row r="115" spans="1:16" x14ac:dyDescent="0.2">
      <c r="A115" s="1" t="s">
        <v>115</v>
      </c>
      <c r="B115" s="3">
        <v>0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</row>
    <row r="116" spans="1:16" x14ac:dyDescent="0.2">
      <c r="A116" s="1" t="s">
        <v>116</v>
      </c>
      <c r="B116" s="3">
        <v>0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</row>
    <row r="117" spans="1:16" x14ac:dyDescent="0.2">
      <c r="A117" s="1" t="s">
        <v>117</v>
      </c>
      <c r="B117" s="3">
        <v>0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</row>
    <row r="118" spans="1:16" x14ac:dyDescent="0.2">
      <c r="A118" s="1" t="s">
        <v>118</v>
      </c>
      <c r="B118" s="3">
        <v>0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</row>
    <row r="119" spans="1:16" x14ac:dyDescent="0.2">
      <c r="A119" s="1" t="s">
        <v>119</v>
      </c>
      <c r="B119" s="3">
        <v>0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</row>
    <row r="120" spans="1:16" x14ac:dyDescent="0.2">
      <c r="A120" s="1" t="s">
        <v>120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</row>
    <row r="121" spans="1:16" x14ac:dyDescent="0.2">
      <c r="A121" s="1" t="s">
        <v>121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</row>
    <row r="122" spans="1:16" x14ac:dyDescent="0.2">
      <c r="A122" s="1" t="s">
        <v>122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</row>
    <row r="123" spans="1:16" x14ac:dyDescent="0.2">
      <c r="A123" s="1" t="s">
        <v>123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</row>
    <row r="125" spans="1:16" x14ac:dyDescent="0.2">
      <c r="A125" s="1" t="s">
        <v>124</v>
      </c>
      <c r="B125" s="3">
        <v>996258.452901721</v>
      </c>
      <c r="C125" s="3">
        <v>1055095.4969612199</v>
      </c>
      <c r="D125" s="3">
        <v>1659562.11436121</v>
      </c>
      <c r="E125" s="3">
        <v>1188404.0089579001</v>
      </c>
      <c r="F125" s="3">
        <v>1374780.96743835</v>
      </c>
      <c r="G125" s="3">
        <v>935357.88140609697</v>
      </c>
      <c r="H125" s="3">
        <v>1092142.8843410199</v>
      </c>
      <c r="I125" s="3">
        <v>1076993.41150425</v>
      </c>
      <c r="J125" s="3">
        <v>1156567.35975595</v>
      </c>
      <c r="K125" s="3">
        <v>1115557.5136430601</v>
      </c>
      <c r="L125" s="3">
        <v>1175892.4930362699</v>
      </c>
      <c r="M125" s="3">
        <v>1229634.7894857901</v>
      </c>
      <c r="N125" s="3">
        <v>1485290.1524787899</v>
      </c>
      <c r="O125" s="3">
        <v>1181597.0196316601</v>
      </c>
      <c r="P125" s="3">
        <v>1179722.39112035</v>
      </c>
    </row>
    <row r="126" spans="1:16" x14ac:dyDescent="0.2">
      <c r="A126" s="1" t="s">
        <v>125</v>
      </c>
      <c r="B126" s="3">
        <v>0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280352.84797574597</v>
      </c>
      <c r="J126" s="3">
        <v>289666.93255378102</v>
      </c>
      <c r="K126" s="3">
        <v>269838.94260285702</v>
      </c>
      <c r="L126" s="3">
        <v>271222.81391680101</v>
      </c>
      <c r="M126" s="3">
        <v>282433.25701052602</v>
      </c>
      <c r="N126" s="3">
        <v>362321.10004167701</v>
      </c>
      <c r="O126" s="3">
        <v>0</v>
      </c>
      <c r="P126" s="3">
        <v>0</v>
      </c>
    </row>
    <row r="127" spans="1:16" x14ac:dyDescent="0.2">
      <c r="A127" s="1" t="s">
        <v>126</v>
      </c>
      <c r="B127" s="3">
        <v>0</v>
      </c>
      <c r="C127" s="3">
        <v>12351.014311359901</v>
      </c>
      <c r="D127" s="3">
        <v>32356.655632558701</v>
      </c>
      <c r="E127" s="3">
        <v>16395.955582115501</v>
      </c>
      <c r="F127" s="3">
        <v>17688.917306704199</v>
      </c>
      <c r="G127" s="3">
        <v>2917.9176431904898</v>
      </c>
      <c r="H127" s="3">
        <v>13607.2557684822</v>
      </c>
      <c r="I127" s="3">
        <v>27054.268805490901</v>
      </c>
      <c r="J127" s="3">
        <v>30662.7478007994</v>
      </c>
      <c r="K127" s="3">
        <v>23104.836378773602</v>
      </c>
      <c r="L127" s="3">
        <v>32642.495165796601</v>
      </c>
      <c r="M127" s="3">
        <v>37709.321423535999</v>
      </c>
      <c r="N127" s="3">
        <v>36484.016894455301</v>
      </c>
      <c r="O127" s="3">
        <v>42434.393449881303</v>
      </c>
      <c r="P127" s="3">
        <v>28640.2145885102</v>
      </c>
    </row>
    <row r="128" spans="1:16" x14ac:dyDescent="0.2">
      <c r="A128" s="1" t="s">
        <v>127</v>
      </c>
      <c r="B128" s="3">
        <v>0</v>
      </c>
      <c r="C128" s="3">
        <v>17949.200510533301</v>
      </c>
      <c r="D128" s="3">
        <v>21974.125663540599</v>
      </c>
      <c r="E128" s="3">
        <v>21743.368168720001</v>
      </c>
      <c r="F128" s="3">
        <v>20309.106955617601</v>
      </c>
      <c r="G128" s="3">
        <v>16845.007309779401</v>
      </c>
      <c r="H128" s="3">
        <v>16014.447952176601</v>
      </c>
      <c r="I128" s="3">
        <v>21241.291481711902</v>
      </c>
      <c r="J128" s="3">
        <v>18585.198621404401</v>
      </c>
      <c r="K128" s="3">
        <v>15360.596875433401</v>
      </c>
      <c r="L128" s="3">
        <v>15465.7163563472</v>
      </c>
      <c r="M128" s="3">
        <v>16112.618880017901</v>
      </c>
      <c r="N128" s="3">
        <v>18512.7439214556</v>
      </c>
      <c r="O128" s="3">
        <v>19394.313642958401</v>
      </c>
      <c r="P128" s="3">
        <v>16076.2026017476</v>
      </c>
    </row>
    <row r="129" spans="1:16" x14ac:dyDescent="0.2">
      <c r="A129" s="1" t="s">
        <v>128</v>
      </c>
      <c r="B129" s="3">
        <v>0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8955.6306587887193</v>
      </c>
      <c r="J129" s="3">
        <v>9362.7283222052793</v>
      </c>
      <c r="K129" s="3">
        <v>0</v>
      </c>
      <c r="L129" s="3">
        <v>0</v>
      </c>
      <c r="M129" s="3">
        <v>6720.0096221942904</v>
      </c>
      <c r="N129" s="3">
        <v>9124.4361594380698</v>
      </c>
      <c r="O129" s="3">
        <v>0</v>
      </c>
      <c r="P129" s="3">
        <v>0</v>
      </c>
    </row>
    <row r="130" spans="1:16" x14ac:dyDescent="0.2">
      <c r="A130" s="1" t="s">
        <v>129</v>
      </c>
      <c r="B130" s="3">
        <v>0</v>
      </c>
      <c r="C130" s="3">
        <v>16281.4835072449</v>
      </c>
      <c r="D130" s="3">
        <v>23072.400637091301</v>
      </c>
      <c r="E130" s="3">
        <v>15538.750145255301</v>
      </c>
      <c r="F130" s="3">
        <v>20697.508148894802</v>
      </c>
      <c r="G130" s="3">
        <v>13127.9166873986</v>
      </c>
      <c r="H130" s="3">
        <v>15742.517006645299</v>
      </c>
      <c r="I130" s="3">
        <v>0</v>
      </c>
      <c r="J130" s="3">
        <v>0</v>
      </c>
      <c r="K130" s="3">
        <v>7638.9349503440699</v>
      </c>
      <c r="L130" s="3">
        <v>7887.5105981882098</v>
      </c>
      <c r="M130" s="3">
        <v>0</v>
      </c>
      <c r="N130" s="3">
        <v>0</v>
      </c>
      <c r="O130" s="3">
        <v>11666.2291210065</v>
      </c>
      <c r="P130" s="3">
        <v>13611.1663902236</v>
      </c>
    </row>
    <row r="131" spans="1:16" x14ac:dyDescent="0.2">
      <c r="A131" s="1" t="s">
        <v>130</v>
      </c>
      <c r="B131" s="3">
        <v>0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</row>
    <row r="132" spans="1:16" x14ac:dyDescent="0.2">
      <c r="A132" s="1" t="s">
        <v>131</v>
      </c>
      <c r="B132" s="3">
        <v>0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</row>
    <row r="133" spans="1:16" x14ac:dyDescent="0.2">
      <c r="A133" s="1" t="s">
        <v>132</v>
      </c>
      <c r="B133" s="3">
        <v>0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</row>
    <row r="134" spans="1:16" x14ac:dyDescent="0.2">
      <c r="A134" s="1" t="s">
        <v>133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</row>
    <row r="136" spans="1:16" x14ac:dyDescent="0.2">
      <c r="A136" s="1" t="s">
        <v>134</v>
      </c>
      <c r="B136" s="3">
        <v>121390.999626221</v>
      </c>
      <c r="C136" s="3">
        <v>128117.542767761</v>
      </c>
      <c r="D136" s="3">
        <v>137221.686835309</v>
      </c>
      <c r="E136" s="3">
        <v>116787.757485561</v>
      </c>
      <c r="F136" s="3">
        <v>127114.815420705</v>
      </c>
      <c r="G136" s="3">
        <v>93301.195294724894</v>
      </c>
      <c r="H136" s="3">
        <v>66231.691882346</v>
      </c>
      <c r="I136" s="3">
        <v>279712.344070561</v>
      </c>
      <c r="J136" s="3">
        <v>253968.09473954901</v>
      </c>
      <c r="K136" s="3">
        <v>285933.38858044002</v>
      </c>
      <c r="L136" s="3">
        <v>165043.752627746</v>
      </c>
      <c r="M136" s="3">
        <v>169387.52614561201</v>
      </c>
      <c r="N136" s="3">
        <v>178589.875468799</v>
      </c>
      <c r="O136" s="3">
        <v>188189.180772678</v>
      </c>
      <c r="P136" s="3">
        <v>164092.712257343</v>
      </c>
    </row>
    <row r="137" spans="1:16" x14ac:dyDescent="0.2">
      <c r="A137" s="1" t="s">
        <v>135</v>
      </c>
      <c r="B137" s="3">
        <v>0</v>
      </c>
      <c r="C137" s="3">
        <v>0</v>
      </c>
      <c r="D137" s="3">
        <v>0</v>
      </c>
      <c r="E137" s="3">
        <v>611.97276982452104</v>
      </c>
      <c r="F137" s="3">
        <v>0</v>
      </c>
      <c r="G137" s="3">
        <v>0</v>
      </c>
      <c r="H137" s="3">
        <v>0</v>
      </c>
      <c r="I137" s="3">
        <v>0</v>
      </c>
      <c r="J137" s="3">
        <v>2590.3517580868702</v>
      </c>
      <c r="K137" s="3">
        <v>0</v>
      </c>
      <c r="L137" s="3">
        <v>0</v>
      </c>
      <c r="M137" s="3">
        <v>0</v>
      </c>
      <c r="N137" s="3">
        <v>0</v>
      </c>
      <c r="O137" s="3">
        <v>141.995495998922</v>
      </c>
      <c r="P137" s="3">
        <v>0</v>
      </c>
    </row>
    <row r="138" spans="1:16" x14ac:dyDescent="0.2">
      <c r="A138" s="1" t="s">
        <v>136</v>
      </c>
      <c r="B138" s="3">
        <v>0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</row>
    <row r="139" spans="1:16" x14ac:dyDescent="0.2">
      <c r="A139" s="1" t="s">
        <v>137</v>
      </c>
      <c r="B139" s="3">
        <v>0</v>
      </c>
      <c r="C139" s="3">
        <v>114469</v>
      </c>
      <c r="D139" s="3">
        <v>147114</v>
      </c>
      <c r="E139" s="3">
        <v>136748.774318929</v>
      </c>
      <c r="F139" s="3">
        <v>135630</v>
      </c>
      <c r="G139" s="3">
        <v>100838</v>
      </c>
      <c r="H139" s="3">
        <v>64661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66063.831186178606</v>
      </c>
      <c r="P139" s="3">
        <v>62255</v>
      </c>
    </row>
    <row r="141" spans="1:16" x14ac:dyDescent="0.2">
      <c r="A141" s="1" t="s">
        <v>138</v>
      </c>
      <c r="B141" s="3">
        <v>11077.9955915139</v>
      </c>
      <c r="C141" s="3">
        <v>11972.6794460009</v>
      </c>
      <c r="D141" s="3">
        <v>27386.7083997105</v>
      </c>
      <c r="E141" s="3">
        <v>10114.0603025971</v>
      </c>
      <c r="F141" s="3">
        <v>22485.493975878799</v>
      </c>
      <c r="G141" s="3">
        <v>9790.1423028452391</v>
      </c>
      <c r="H141" s="3">
        <v>11714.6620048193</v>
      </c>
      <c r="I141" s="3">
        <v>31452.437775906299</v>
      </c>
      <c r="J141" s="3">
        <v>24025.7799126299</v>
      </c>
      <c r="K141" s="3">
        <v>27588.877909900399</v>
      </c>
      <c r="L141" s="3">
        <v>26001.6797111163</v>
      </c>
      <c r="M141" s="3">
        <v>26217.252724744299</v>
      </c>
      <c r="N141" s="3">
        <v>19025.156171633</v>
      </c>
      <c r="O141" s="3">
        <v>25735.8435595958</v>
      </c>
      <c r="P141" s="3">
        <v>13223.673100215001</v>
      </c>
    </row>
    <row r="142" spans="1:16" x14ac:dyDescent="0.2">
      <c r="A142" s="1" t="s">
        <v>139</v>
      </c>
      <c r="B142" s="3">
        <v>0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</row>
    <row r="143" spans="1:16" x14ac:dyDescent="0.2">
      <c r="A143" s="1" t="s">
        <v>140</v>
      </c>
      <c r="B143" s="3">
        <v>0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</row>
    <row r="144" spans="1:16" x14ac:dyDescent="0.2">
      <c r="A144" s="1" t="s">
        <v>141</v>
      </c>
      <c r="B144" s="3">
        <v>0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</row>
    <row r="145" spans="1:16" x14ac:dyDescent="0.2">
      <c r="A145" s="1" t="s">
        <v>142</v>
      </c>
      <c r="B145" s="3">
        <v>0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</row>
    <row r="146" spans="1:16" x14ac:dyDescent="0.2">
      <c r="A146" s="1" t="s">
        <v>143</v>
      </c>
      <c r="B146" s="3">
        <v>0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</row>
    <row r="147" spans="1:16" x14ac:dyDescent="0.2">
      <c r="A147" s="1" t="s">
        <v>144</v>
      </c>
      <c r="B147" s="3">
        <v>0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</row>
    <row r="148" spans="1:16" x14ac:dyDescent="0.2">
      <c r="A148" s="1" t="s">
        <v>145</v>
      </c>
      <c r="B148" s="3">
        <v>0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</row>
    <row r="149" spans="1:16" x14ac:dyDescent="0.2">
      <c r="A149" s="1" t="s">
        <v>146</v>
      </c>
      <c r="B149" s="3">
        <v>0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</row>
    <row r="150" spans="1:16" x14ac:dyDescent="0.2">
      <c r="A150" s="1" t="s">
        <v>147</v>
      </c>
      <c r="B150" s="3">
        <v>0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</row>
    <row r="151" spans="1:16" x14ac:dyDescent="0.2">
      <c r="A151" s="1" t="s">
        <v>148</v>
      </c>
      <c r="B151" s="3">
        <v>0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</row>
    <row r="153" spans="1:16" x14ac:dyDescent="0.2">
      <c r="A153" s="1" t="s">
        <v>149</v>
      </c>
      <c r="B153" s="3">
        <v>184365.18978980399</v>
      </c>
      <c r="C153" s="3">
        <v>146001.01207436499</v>
      </c>
      <c r="D153" s="3">
        <v>253896.98083309201</v>
      </c>
      <c r="E153" s="3">
        <v>186730.90814661299</v>
      </c>
      <c r="F153" s="3">
        <v>215224.52253857901</v>
      </c>
      <c r="G153" s="3">
        <v>165500.87565942699</v>
      </c>
      <c r="H153" s="3">
        <v>165407.05113536099</v>
      </c>
      <c r="I153" s="3">
        <v>245992.26468052701</v>
      </c>
      <c r="J153" s="3">
        <v>262242.89564049197</v>
      </c>
      <c r="K153" s="3">
        <v>242682.716289959</v>
      </c>
      <c r="L153" s="3">
        <v>243450.06686178499</v>
      </c>
      <c r="M153" s="3">
        <v>259143.33547045299</v>
      </c>
      <c r="N153" s="3">
        <v>319551.80850693601</v>
      </c>
      <c r="O153" s="3">
        <v>223804.99865614399</v>
      </c>
      <c r="P153" s="3">
        <v>207107.584248245</v>
      </c>
    </row>
    <row r="154" spans="1:16" x14ac:dyDescent="0.2">
      <c r="A154" s="1" t="s">
        <v>150</v>
      </c>
      <c r="B154" s="3">
        <v>0</v>
      </c>
      <c r="C154" s="3">
        <v>2320.0235796710599</v>
      </c>
      <c r="D154" s="3">
        <v>14225.1147426272</v>
      </c>
      <c r="E154" s="3">
        <v>12709.725813512199</v>
      </c>
      <c r="F154" s="3">
        <v>7158.40573026124</v>
      </c>
      <c r="G154" s="3">
        <v>4402.61861639985</v>
      </c>
      <c r="H154" s="3">
        <v>10003.684685702399</v>
      </c>
      <c r="I154" s="3">
        <v>13155.934027756601</v>
      </c>
      <c r="J154" s="3">
        <v>21615.302790007401</v>
      </c>
      <c r="K154" s="3">
        <v>13080.3248648628</v>
      </c>
      <c r="L154" s="3">
        <v>11881.3021782709</v>
      </c>
      <c r="M154" s="3">
        <v>14620.127158531501</v>
      </c>
      <c r="N154" s="3">
        <v>20756.251032451699</v>
      </c>
      <c r="O154" s="3">
        <v>12219.550757115299</v>
      </c>
      <c r="P154" s="3">
        <v>15220.590709050801</v>
      </c>
    </row>
    <row r="155" spans="1:16" x14ac:dyDescent="0.2">
      <c r="A155" s="1" t="s">
        <v>151</v>
      </c>
      <c r="B155" s="3">
        <v>0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</row>
    <row r="156" spans="1:16" x14ac:dyDescent="0.2">
      <c r="A156" s="1" t="s">
        <v>152</v>
      </c>
      <c r="B156" s="3">
        <v>0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</row>
    <row r="157" spans="1:16" x14ac:dyDescent="0.2">
      <c r="A157" s="1" t="s">
        <v>153</v>
      </c>
      <c r="B157" s="3">
        <v>0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</row>
    <row r="158" spans="1:16" x14ac:dyDescent="0.2">
      <c r="A158" s="1" t="s">
        <v>154</v>
      </c>
      <c r="B158" s="3">
        <v>0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</row>
    <row r="159" spans="1:16" x14ac:dyDescent="0.2">
      <c r="A159" s="1" t="s">
        <v>155</v>
      </c>
      <c r="B159" s="3">
        <v>0</v>
      </c>
      <c r="C159" s="3"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</row>
    <row r="160" spans="1:16" x14ac:dyDescent="0.2">
      <c r="A160" s="1" t="s">
        <v>156</v>
      </c>
      <c r="B160" s="3">
        <v>0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</row>
    <row r="161" spans="1:16" x14ac:dyDescent="0.2">
      <c r="A161" s="1" t="s">
        <v>157</v>
      </c>
      <c r="B161" s="3">
        <v>0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</row>
    <row r="162" spans="1:16" x14ac:dyDescent="0.2">
      <c r="A162" s="1" t="s">
        <v>158</v>
      </c>
      <c r="B162" s="3">
        <v>0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</row>
    <row r="163" spans="1:16" x14ac:dyDescent="0.2">
      <c r="A163" s="1" t="s">
        <v>159</v>
      </c>
      <c r="B163" s="3">
        <v>0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</row>
    <row r="165" spans="1:16" x14ac:dyDescent="0.2">
      <c r="A165" s="1" t="s">
        <v>160</v>
      </c>
      <c r="B165" s="3">
        <v>247228.91509219501</v>
      </c>
      <c r="C165" s="3">
        <v>213604.86790314299</v>
      </c>
      <c r="D165" s="3">
        <v>242772.78044168299</v>
      </c>
      <c r="E165" s="3">
        <v>228571.923518266</v>
      </c>
      <c r="F165" s="3">
        <v>167158.48026529301</v>
      </c>
      <c r="G165" s="3">
        <v>169997.796756039</v>
      </c>
      <c r="H165" s="3">
        <v>153722.75341616099</v>
      </c>
      <c r="I165" s="3">
        <v>618480.49958576204</v>
      </c>
      <c r="J165" s="3">
        <v>605723.34479971696</v>
      </c>
      <c r="K165" s="3">
        <v>518338.22371795902</v>
      </c>
      <c r="L165" s="3">
        <v>327133.71421865799</v>
      </c>
      <c r="M165" s="3">
        <v>319893.83118335501</v>
      </c>
      <c r="N165" s="3">
        <v>244718.732767482</v>
      </c>
      <c r="O165" s="3">
        <v>328021.73529649398</v>
      </c>
      <c r="P165" s="3">
        <v>347447.06279697298</v>
      </c>
    </row>
    <row r="166" spans="1:16" x14ac:dyDescent="0.2">
      <c r="A166" s="1" t="s">
        <v>161</v>
      </c>
      <c r="B166" s="3">
        <v>0</v>
      </c>
      <c r="C166" s="3">
        <v>2136.75182929522</v>
      </c>
      <c r="D166" s="3">
        <v>0</v>
      </c>
      <c r="E166" s="3">
        <v>0</v>
      </c>
      <c r="F166" s="3">
        <v>0</v>
      </c>
      <c r="G166" s="3">
        <v>3629.2716163648802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</row>
    <row r="167" spans="1:16" x14ac:dyDescent="0.2">
      <c r="A167" s="1" t="s">
        <v>162</v>
      </c>
      <c r="B167" s="3">
        <v>0</v>
      </c>
      <c r="C167" s="3">
        <v>8676.7953838181293</v>
      </c>
      <c r="D167" s="3">
        <v>17540.591750820298</v>
      </c>
      <c r="E167" s="3">
        <v>9561.9304754344703</v>
      </c>
      <c r="F167" s="3">
        <v>10497.042742523399</v>
      </c>
      <c r="G167" s="3">
        <v>5454.5232335177698</v>
      </c>
      <c r="H167" s="3">
        <v>6348.8419174672399</v>
      </c>
      <c r="I167" s="3">
        <v>15233.389365459199</v>
      </c>
      <c r="J167" s="3">
        <v>6255.27107665311</v>
      </c>
      <c r="K167" s="3">
        <v>13020.1826294648</v>
      </c>
      <c r="L167" s="3">
        <v>0</v>
      </c>
      <c r="M167" s="3">
        <v>0</v>
      </c>
      <c r="N167" s="3">
        <v>0</v>
      </c>
      <c r="O167" s="3">
        <v>6026.4084667550396</v>
      </c>
      <c r="P167" s="3">
        <v>8963.6153038161701</v>
      </c>
    </row>
    <row r="168" spans="1:16" x14ac:dyDescent="0.2">
      <c r="A168" s="1" t="s">
        <v>163</v>
      </c>
      <c r="B168" s="3">
        <v>0</v>
      </c>
      <c r="C168" s="3">
        <v>154166.501898321</v>
      </c>
      <c r="D168" s="3">
        <v>152067.266819974</v>
      </c>
      <c r="E168" s="3">
        <v>165790.11961963799</v>
      </c>
      <c r="F168" s="3">
        <v>111990.38400329</v>
      </c>
      <c r="G168" s="3">
        <v>110261.935639442</v>
      </c>
      <c r="H168" s="3">
        <v>86820.442791605004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52706.660951326499</v>
      </c>
      <c r="P168" s="3">
        <v>58796.492849392402</v>
      </c>
    </row>
    <row r="169" spans="1:16" x14ac:dyDescent="0.2">
      <c r="A169" s="1" t="s">
        <v>164</v>
      </c>
      <c r="B169" s="3">
        <v>0</v>
      </c>
      <c r="C169" s="3">
        <v>7870.8597412763502</v>
      </c>
      <c r="D169" s="3">
        <v>7014.5901927320501</v>
      </c>
      <c r="E169" s="3">
        <v>2552.6878587610399</v>
      </c>
      <c r="F169" s="3">
        <v>3030.0147452993001</v>
      </c>
      <c r="G169" s="3">
        <v>3991.42096926981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</row>
    <row r="170" spans="1:16" x14ac:dyDescent="0.2">
      <c r="A170" s="1" t="s">
        <v>165</v>
      </c>
      <c r="B170" s="3">
        <v>0</v>
      </c>
      <c r="C170" s="3">
        <v>13529.2204048557</v>
      </c>
      <c r="D170" s="3">
        <v>15069.5483653461</v>
      </c>
      <c r="E170" s="3">
        <v>10503.4770516631</v>
      </c>
      <c r="F170" s="3">
        <v>6737.9854473022297</v>
      </c>
      <c r="G170" s="3">
        <v>6706.3395913271197</v>
      </c>
      <c r="H170" s="3">
        <v>5175.7642601564303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7129.3141026204403</v>
      </c>
    </row>
    <row r="171" spans="1:16" x14ac:dyDescent="0.2">
      <c r="A171" s="1" t="s">
        <v>166</v>
      </c>
      <c r="B171" s="3">
        <v>0</v>
      </c>
      <c r="C171" s="3">
        <v>223170.226201518</v>
      </c>
      <c r="D171" s="3">
        <v>202604.38620256801</v>
      </c>
      <c r="E171" s="3">
        <v>205477.15287720101</v>
      </c>
      <c r="F171" s="3">
        <v>134950.515528296</v>
      </c>
      <c r="G171" s="3">
        <v>157543.74730255801</v>
      </c>
      <c r="H171" s="3">
        <v>131459.06659313801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90814</v>
      </c>
      <c r="P171" s="3">
        <v>73467.577544871194</v>
      </c>
    </row>
    <row r="173" spans="1:16" x14ac:dyDescent="0.2">
      <c r="A173" s="1" t="s">
        <v>167</v>
      </c>
      <c r="B173" s="3">
        <v>32915.553838143198</v>
      </c>
      <c r="C173" s="3">
        <v>22866.2755999152</v>
      </c>
      <c r="D173" s="3">
        <v>33775.790863002199</v>
      </c>
      <c r="E173" s="3">
        <v>25418.134004093099</v>
      </c>
      <c r="F173" s="3">
        <v>30836.024334571201</v>
      </c>
      <c r="G173" s="3">
        <v>18760.647463880301</v>
      </c>
      <c r="H173" s="3">
        <v>20051.537309879899</v>
      </c>
      <c r="I173" s="3">
        <v>57604.890760306102</v>
      </c>
      <c r="J173" s="3">
        <v>53398.812586585802</v>
      </c>
      <c r="K173" s="3">
        <v>58949.211477414901</v>
      </c>
      <c r="L173" s="3">
        <v>39255.661003966998</v>
      </c>
      <c r="M173" s="3">
        <v>33943.563798285199</v>
      </c>
      <c r="N173" s="3">
        <v>38625.176724877798</v>
      </c>
      <c r="O173" s="3">
        <v>35744.184154666997</v>
      </c>
      <c r="P173" s="3">
        <v>35007.906750781498</v>
      </c>
    </row>
    <row r="174" spans="1:16" x14ac:dyDescent="0.2">
      <c r="A174" s="1" t="s">
        <v>168</v>
      </c>
      <c r="B174" s="3">
        <v>0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</row>
    <row r="175" spans="1:16" x14ac:dyDescent="0.2">
      <c r="A175" s="1" t="s">
        <v>169</v>
      </c>
      <c r="B175" s="3">
        <v>0</v>
      </c>
      <c r="C175" s="3"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</row>
    <row r="176" spans="1:16" x14ac:dyDescent="0.2">
      <c r="A176" s="1" t="s">
        <v>170</v>
      </c>
      <c r="B176" s="3">
        <v>0</v>
      </c>
      <c r="C176" s="3">
        <v>9499.0325691724302</v>
      </c>
      <c r="D176" s="3">
        <v>9538.3146714282302</v>
      </c>
      <c r="E176" s="3">
        <v>8577.9706452272094</v>
      </c>
      <c r="F176" s="3">
        <v>5318.5898975288001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</row>
    <row r="177" spans="1:16" x14ac:dyDescent="0.2">
      <c r="A177" s="1" t="s">
        <v>171</v>
      </c>
      <c r="B177" s="3">
        <v>0</v>
      </c>
      <c r="C177" s="3"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</row>
    <row r="178" spans="1:16" x14ac:dyDescent="0.2">
      <c r="A178" s="1" t="s">
        <v>172</v>
      </c>
      <c r="B178" s="3">
        <v>0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</row>
    <row r="179" spans="1:16" x14ac:dyDescent="0.2">
      <c r="A179" s="1" t="s">
        <v>173</v>
      </c>
      <c r="B179" s="3">
        <v>0</v>
      </c>
      <c r="C179" s="3">
        <v>18589</v>
      </c>
      <c r="D179" s="3">
        <v>24070</v>
      </c>
      <c r="E179" s="3">
        <v>12814</v>
      </c>
      <c r="F179" s="3">
        <v>12589</v>
      </c>
      <c r="G179" s="3">
        <v>11072</v>
      </c>
      <c r="H179" s="3">
        <v>10253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9721</v>
      </c>
      <c r="P179" s="3">
        <v>7807</v>
      </c>
    </row>
    <row r="181" spans="1:16" x14ac:dyDescent="0.2">
      <c r="A181" s="1" t="s">
        <v>174</v>
      </c>
      <c r="B181" s="3">
        <v>241137.25380542499</v>
      </c>
      <c r="C181" s="3">
        <v>195088.28629487299</v>
      </c>
      <c r="D181" s="3">
        <v>283539.38892891601</v>
      </c>
      <c r="E181" s="3">
        <v>226452.717203015</v>
      </c>
      <c r="F181" s="3">
        <v>239947.773938278</v>
      </c>
      <c r="G181" s="3">
        <v>177610.87605009499</v>
      </c>
      <c r="H181" s="3">
        <v>128065.590300874</v>
      </c>
      <c r="I181" s="3">
        <v>333882.190617182</v>
      </c>
      <c r="J181" s="3">
        <v>186855.998567592</v>
      </c>
      <c r="K181" s="3">
        <v>194959.72212645601</v>
      </c>
      <c r="L181" s="3">
        <v>136583.22776781401</v>
      </c>
      <c r="M181" s="3">
        <v>150833.99095645701</v>
      </c>
      <c r="N181" s="3">
        <v>139357.28714163401</v>
      </c>
      <c r="O181" s="3">
        <v>176984.77900227401</v>
      </c>
      <c r="P181" s="3">
        <v>188042.34272331299</v>
      </c>
    </row>
    <row r="182" spans="1:16" x14ac:dyDescent="0.2">
      <c r="A182" s="1" t="s">
        <v>175</v>
      </c>
      <c r="B182" s="3">
        <v>0</v>
      </c>
      <c r="C182" s="3">
        <v>0</v>
      </c>
      <c r="D182" s="3">
        <v>0</v>
      </c>
      <c r="E182" s="3">
        <v>1383.4392973284801</v>
      </c>
      <c r="F182" s="3">
        <v>0</v>
      </c>
      <c r="G182" s="3">
        <v>1234.4773260926299</v>
      </c>
      <c r="H182" s="3">
        <v>0</v>
      </c>
      <c r="I182" s="3">
        <v>0</v>
      </c>
      <c r="J182" s="3">
        <v>0</v>
      </c>
      <c r="K182" s="3">
        <v>0</v>
      </c>
      <c r="L182" s="3">
        <v>1971.84091287505</v>
      </c>
      <c r="M182" s="3">
        <v>0</v>
      </c>
      <c r="N182" s="3">
        <v>0</v>
      </c>
      <c r="O182" s="3">
        <v>7312.5030831231297</v>
      </c>
      <c r="P182" s="3">
        <v>1461.8958424144901</v>
      </c>
    </row>
    <row r="183" spans="1:16" x14ac:dyDescent="0.2">
      <c r="A183" s="1" t="s">
        <v>176</v>
      </c>
      <c r="B183" s="3">
        <v>0</v>
      </c>
      <c r="C183" s="3">
        <v>0</v>
      </c>
      <c r="D183" s="3">
        <v>0</v>
      </c>
      <c r="E183" s="3">
        <v>5735.0140659379404</v>
      </c>
      <c r="F183" s="3">
        <v>11507.3792337697</v>
      </c>
      <c r="G183" s="3">
        <v>0</v>
      </c>
      <c r="H183" s="3">
        <v>0</v>
      </c>
      <c r="I183" s="3">
        <v>0</v>
      </c>
      <c r="J183" s="3">
        <v>5349.3490012963603</v>
      </c>
      <c r="K183" s="3">
        <v>10498.2471616357</v>
      </c>
      <c r="L183" s="3">
        <v>5940.3315320715501</v>
      </c>
      <c r="M183" s="3">
        <v>5426.6193987312399</v>
      </c>
      <c r="N183" s="3">
        <v>5625.1120077630003</v>
      </c>
      <c r="O183" s="3">
        <v>4915.8410673118697</v>
      </c>
      <c r="P183" s="3">
        <v>5056.9214738718701</v>
      </c>
    </row>
    <row r="184" spans="1:16" x14ac:dyDescent="0.2">
      <c r="A184" s="1" t="s">
        <v>177</v>
      </c>
      <c r="B184" s="3">
        <v>0</v>
      </c>
      <c r="C184" s="3">
        <v>0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30235.591506572298</v>
      </c>
      <c r="J184" s="3">
        <v>16447.531713275799</v>
      </c>
      <c r="K184" s="3">
        <v>28201.7989264481</v>
      </c>
      <c r="L184" s="3">
        <v>0</v>
      </c>
      <c r="M184" s="3">
        <v>0</v>
      </c>
      <c r="N184" s="3">
        <v>5047.1272122700602</v>
      </c>
      <c r="O184" s="3">
        <v>6681.9169770101798</v>
      </c>
      <c r="P184" s="3">
        <v>5401.8672110523703</v>
      </c>
    </row>
    <row r="185" spans="1:16" x14ac:dyDescent="0.2">
      <c r="A185" s="1" t="s">
        <v>178</v>
      </c>
      <c r="B185" s="3">
        <v>0</v>
      </c>
      <c r="C185" s="3"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81756.408493427705</v>
      </c>
      <c r="J185" s="3">
        <v>67760.429879924806</v>
      </c>
      <c r="K185" s="3">
        <v>76243.5099239025</v>
      </c>
      <c r="L185" s="3">
        <v>64787.2812198846</v>
      </c>
      <c r="M185" s="3">
        <v>56850.3433790528</v>
      </c>
      <c r="N185" s="3">
        <v>73636.800962112102</v>
      </c>
      <c r="O185" s="3">
        <v>34881.904096483697</v>
      </c>
      <c r="P185" s="3">
        <v>29871.9675731801</v>
      </c>
    </row>
    <row r="187" spans="1:16" x14ac:dyDescent="0.2">
      <c r="A187" s="1" t="s">
        <v>179</v>
      </c>
      <c r="B187" s="3">
        <v>43571.438801105498</v>
      </c>
      <c r="C187" s="3">
        <v>30963.209900418999</v>
      </c>
      <c r="D187" s="3">
        <v>30425.952804278899</v>
      </c>
      <c r="E187" s="3">
        <v>33408.2323192357</v>
      </c>
      <c r="F187" s="3">
        <v>39854.200514297903</v>
      </c>
      <c r="G187" s="3">
        <v>29169.3743569656</v>
      </c>
      <c r="H187" s="3">
        <v>38280.405818951796</v>
      </c>
      <c r="I187" s="3">
        <v>39509.060300769197</v>
      </c>
      <c r="J187" s="3">
        <v>37083.026178489701</v>
      </c>
      <c r="K187" s="3">
        <v>41522.936692329902</v>
      </c>
      <c r="L187" s="3">
        <v>35874.476951829303</v>
      </c>
      <c r="M187" s="3">
        <v>57934.409693551301</v>
      </c>
      <c r="N187" s="3">
        <v>45731.636771864498</v>
      </c>
      <c r="O187" s="3">
        <v>30112.087432105502</v>
      </c>
      <c r="P187" s="3">
        <v>32427.542651021398</v>
      </c>
    </row>
    <row r="188" spans="1:16" x14ac:dyDescent="0.2">
      <c r="A188" s="1" t="s">
        <v>180</v>
      </c>
      <c r="B188" s="3">
        <v>0</v>
      </c>
      <c r="C188" s="3">
        <v>0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6963.6360709276796</v>
      </c>
      <c r="J188" s="3">
        <v>3695.5491843277</v>
      </c>
      <c r="K188" s="3">
        <v>8073.2395182501004</v>
      </c>
      <c r="L188" s="3">
        <v>1731.82200088026</v>
      </c>
      <c r="M188" s="3">
        <v>9063.9025099808805</v>
      </c>
      <c r="N188" s="3">
        <v>1772.0905930425199</v>
      </c>
      <c r="O188" s="3">
        <v>7535.55015912406</v>
      </c>
      <c r="P188" s="3">
        <v>6264.5517760287203</v>
      </c>
    </row>
    <row r="189" spans="1:16" x14ac:dyDescent="0.2">
      <c r="A189" s="1" t="s">
        <v>181</v>
      </c>
      <c r="B189" s="3">
        <v>0</v>
      </c>
      <c r="C189" s="3">
        <v>0</v>
      </c>
      <c r="D189" s="3">
        <v>0</v>
      </c>
      <c r="E189" s="3">
        <v>0</v>
      </c>
      <c r="F189" s="3">
        <v>8184.4779242459599</v>
      </c>
      <c r="G189" s="3">
        <v>0</v>
      </c>
      <c r="H189" s="3">
        <v>0</v>
      </c>
      <c r="I189" s="3">
        <v>4985.2521933304097</v>
      </c>
      <c r="J189" s="3">
        <v>5504.4535048254702</v>
      </c>
      <c r="K189" s="3">
        <v>4773.75667847162</v>
      </c>
      <c r="L189" s="3">
        <v>0</v>
      </c>
      <c r="M189" s="3">
        <v>0</v>
      </c>
      <c r="N189" s="3">
        <v>7729.0361202550102</v>
      </c>
      <c r="O189" s="3">
        <v>5750.0262968132702</v>
      </c>
      <c r="P189" s="3">
        <v>5584.6547091140901</v>
      </c>
    </row>
    <row r="190" spans="1:16" x14ac:dyDescent="0.2">
      <c r="A190" s="1" t="s">
        <v>182</v>
      </c>
      <c r="B190" s="3">
        <v>0</v>
      </c>
      <c r="C190" s="3">
        <v>0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</row>
    <row r="191" spans="1:16" x14ac:dyDescent="0.2">
      <c r="A191" s="1" t="s">
        <v>183</v>
      </c>
      <c r="B191" s="3">
        <v>0</v>
      </c>
      <c r="C191" s="3"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</row>
    <row r="192" spans="1:16" x14ac:dyDescent="0.2">
      <c r="A192" s="1" t="s">
        <v>184</v>
      </c>
      <c r="B192" s="3">
        <v>0</v>
      </c>
      <c r="C192" s="3">
        <v>0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</row>
    <row r="193" spans="1:16" x14ac:dyDescent="0.2">
      <c r="A193" s="1" t="s">
        <v>185</v>
      </c>
      <c r="B193" s="3">
        <v>0</v>
      </c>
      <c r="C193" s="3"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</row>
    <row r="194" spans="1:16" x14ac:dyDescent="0.2">
      <c r="A194" s="1" t="s">
        <v>186</v>
      </c>
      <c r="B194" s="3">
        <v>0</v>
      </c>
      <c r="C194" s="3">
        <v>0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</row>
    <row r="195" spans="1:16" x14ac:dyDescent="0.2">
      <c r="A195" s="1" t="s">
        <v>187</v>
      </c>
      <c r="B195" s="3">
        <v>0</v>
      </c>
      <c r="C195" s="3"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</row>
    <row r="196" spans="1:16" x14ac:dyDescent="0.2">
      <c r="A196" s="1" t="s">
        <v>188</v>
      </c>
      <c r="B196" s="3">
        <v>0</v>
      </c>
      <c r="C196" s="3">
        <v>0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</row>
    <row r="197" spans="1:16" x14ac:dyDescent="0.2">
      <c r="A197" s="1" t="s">
        <v>189</v>
      </c>
      <c r="B197" s="3">
        <v>0</v>
      </c>
      <c r="C197" s="3"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</row>
    <row r="199" spans="1:16" x14ac:dyDescent="0.2">
      <c r="A199" s="1" t="s">
        <v>190</v>
      </c>
      <c r="B199" s="3">
        <v>140092.53819619099</v>
      </c>
      <c r="C199" s="3">
        <v>74203.725179106099</v>
      </c>
      <c r="D199" s="3">
        <v>96933.217748981697</v>
      </c>
      <c r="E199" s="3">
        <v>80199.7375349863</v>
      </c>
      <c r="F199" s="3">
        <v>76815.426158926304</v>
      </c>
      <c r="G199" s="3">
        <v>58242.855361350601</v>
      </c>
      <c r="H199" s="3">
        <v>55758.319854770401</v>
      </c>
      <c r="I199" s="3">
        <v>161236.20251154399</v>
      </c>
      <c r="J199" s="3">
        <v>142269.311885181</v>
      </c>
      <c r="K199" s="3">
        <v>142649.73968747901</v>
      </c>
      <c r="L199" s="3">
        <v>124793.142562768</v>
      </c>
      <c r="M199" s="3">
        <v>114869.961180357</v>
      </c>
      <c r="N199" s="3">
        <v>127145.169508997</v>
      </c>
      <c r="O199" s="3">
        <v>113739.363947686</v>
      </c>
      <c r="P199" s="3">
        <v>111223.838535862</v>
      </c>
    </row>
    <row r="200" spans="1:16" x14ac:dyDescent="0.2">
      <c r="A200" s="1" t="s">
        <v>191</v>
      </c>
      <c r="B200" s="3">
        <v>0</v>
      </c>
      <c r="C200" s="3">
        <v>0</v>
      </c>
      <c r="D200" s="3">
        <v>313.101698847948</v>
      </c>
      <c r="E200" s="3">
        <v>278.21347724845202</v>
      </c>
      <c r="F200" s="3">
        <v>0</v>
      </c>
      <c r="G200" s="3">
        <v>2328.7225374862401</v>
      </c>
      <c r="H200" s="3">
        <v>0</v>
      </c>
      <c r="I200" s="3">
        <v>0</v>
      </c>
      <c r="J200" s="3">
        <v>1738.6052815201101</v>
      </c>
      <c r="K200" s="3">
        <v>0</v>
      </c>
      <c r="L200" s="3">
        <v>0</v>
      </c>
      <c r="M200" s="3">
        <v>1560.06068262143</v>
      </c>
      <c r="N200" s="3">
        <v>0</v>
      </c>
      <c r="O200" s="3">
        <v>0</v>
      </c>
      <c r="P200" s="3">
        <v>0</v>
      </c>
    </row>
    <row r="201" spans="1:16" x14ac:dyDescent="0.2">
      <c r="A201" s="1" t="s">
        <v>192</v>
      </c>
      <c r="B201" s="3">
        <v>0</v>
      </c>
      <c r="C201" s="3"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</row>
    <row r="202" spans="1:16" x14ac:dyDescent="0.2">
      <c r="A202" s="1" t="s">
        <v>193</v>
      </c>
      <c r="B202" s="3">
        <v>0</v>
      </c>
      <c r="C202" s="3">
        <v>0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</row>
    <row r="203" spans="1:16" x14ac:dyDescent="0.2">
      <c r="A203" s="1" t="s">
        <v>194</v>
      </c>
      <c r="B203" s="3">
        <v>0</v>
      </c>
      <c r="C203" s="3"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</row>
    <row r="204" spans="1:16" x14ac:dyDescent="0.2">
      <c r="A204" s="1" t="s">
        <v>195</v>
      </c>
      <c r="B204" s="3">
        <v>0</v>
      </c>
      <c r="C204" s="3">
        <v>0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</row>
    <row r="205" spans="1:16" x14ac:dyDescent="0.2">
      <c r="A205" s="1" t="s">
        <v>196</v>
      </c>
      <c r="B205" s="3">
        <v>0</v>
      </c>
      <c r="C205" s="3">
        <v>60946</v>
      </c>
      <c r="D205" s="3">
        <v>85698</v>
      </c>
      <c r="E205" s="3">
        <v>71912</v>
      </c>
      <c r="F205" s="3">
        <v>65007</v>
      </c>
      <c r="G205" s="3">
        <v>52217</v>
      </c>
      <c r="H205" s="3">
        <v>48262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32893</v>
      </c>
      <c r="P205" s="3">
        <v>31719</v>
      </c>
    </row>
    <row r="207" spans="1:16" x14ac:dyDescent="0.2">
      <c r="A207" s="1" t="s">
        <v>197</v>
      </c>
      <c r="B207" s="3">
        <v>767746.04973398906</v>
      </c>
      <c r="C207" s="3">
        <v>756597.164168332</v>
      </c>
      <c r="D207" s="3">
        <v>1005131.9297504399</v>
      </c>
      <c r="E207" s="3">
        <v>1122536.6514562201</v>
      </c>
      <c r="F207" s="3">
        <v>1002198.57492654</v>
      </c>
      <c r="G207" s="3">
        <v>1081078.56994513</v>
      </c>
      <c r="H207" s="3">
        <v>745767.79521190899</v>
      </c>
      <c r="I207" s="3">
        <v>830580.75415846799</v>
      </c>
      <c r="J207" s="3">
        <v>1022269.34735002</v>
      </c>
      <c r="K207" s="3">
        <v>1142877.7840875101</v>
      </c>
      <c r="L207" s="3">
        <v>1114731.4698045801</v>
      </c>
      <c r="M207" s="3">
        <v>1029977.28481624</v>
      </c>
      <c r="N207" s="3">
        <v>1037942.75908121</v>
      </c>
      <c r="O207" s="3">
        <v>940670.78960939206</v>
      </c>
      <c r="P207" s="3">
        <v>963714.45570139005</v>
      </c>
    </row>
    <row r="208" spans="1:16" x14ac:dyDescent="0.2">
      <c r="A208" s="1" t="s">
        <v>198</v>
      </c>
      <c r="B208" s="3">
        <v>0</v>
      </c>
      <c r="C208" s="3">
        <v>0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1331.71316876182</v>
      </c>
      <c r="P208" s="3">
        <v>0</v>
      </c>
    </row>
    <row r="209" spans="1:16" x14ac:dyDescent="0.2">
      <c r="A209" s="1" t="s">
        <v>199</v>
      </c>
      <c r="B209" s="3">
        <v>0</v>
      </c>
      <c r="C209" s="3">
        <v>19249.462921409598</v>
      </c>
      <c r="D209" s="3">
        <v>39715.657999678202</v>
      </c>
      <c r="E209" s="3">
        <v>39265.299598637903</v>
      </c>
      <c r="F209" s="3">
        <v>39113.699259410998</v>
      </c>
      <c r="G209" s="3">
        <v>38093.578106645698</v>
      </c>
      <c r="H209" s="3">
        <v>16962.279854543202</v>
      </c>
      <c r="I209" s="3">
        <v>33527.957651169403</v>
      </c>
      <c r="J209" s="3">
        <v>47000.168340828597</v>
      </c>
      <c r="K209" s="3">
        <v>54165.864433589697</v>
      </c>
      <c r="L209" s="3">
        <v>46598.216468854102</v>
      </c>
      <c r="M209" s="3">
        <v>49389.1786228774</v>
      </c>
      <c r="N209" s="3">
        <v>43169.148377377402</v>
      </c>
      <c r="O209" s="3">
        <v>34972.224636201201</v>
      </c>
      <c r="P209" s="3">
        <v>39547.290461083197</v>
      </c>
    </row>
    <row r="210" spans="1:16" x14ac:dyDescent="0.2">
      <c r="A210" s="1" t="s">
        <v>200</v>
      </c>
      <c r="B210" s="3">
        <v>0</v>
      </c>
      <c r="C210" s="3">
        <v>0</v>
      </c>
      <c r="D210" s="3">
        <v>0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</row>
    <row r="211" spans="1:16" x14ac:dyDescent="0.2">
      <c r="A211" s="1" t="s">
        <v>201</v>
      </c>
      <c r="B211" s="3">
        <v>0</v>
      </c>
      <c r="C211" s="3"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</row>
    <row r="212" spans="1:16" x14ac:dyDescent="0.2">
      <c r="A212" s="1" t="s">
        <v>202</v>
      </c>
      <c r="B212" s="3">
        <v>0</v>
      </c>
      <c r="C212" s="3">
        <v>24586.450960566199</v>
      </c>
      <c r="D212" s="3">
        <v>30115.267947421598</v>
      </c>
      <c r="E212" s="3">
        <v>30923.1547017189</v>
      </c>
      <c r="F212" s="3">
        <v>29471.1830131446</v>
      </c>
      <c r="G212" s="3">
        <v>30823.053589484301</v>
      </c>
      <c r="H212" s="3">
        <v>22150.657229524801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12439.838220424699</v>
      </c>
      <c r="P212" s="3">
        <v>15046.511627907001</v>
      </c>
    </row>
    <row r="213" spans="1:16" x14ac:dyDescent="0.2">
      <c r="A213" s="1" t="s">
        <v>203</v>
      </c>
      <c r="B213" s="3">
        <v>0</v>
      </c>
      <c r="C213" s="3">
        <v>727451.54903943394</v>
      </c>
      <c r="D213" s="3">
        <v>869499.73205257801</v>
      </c>
      <c r="E213" s="3">
        <v>997775.84529828106</v>
      </c>
      <c r="F213" s="3">
        <v>887227.816986855</v>
      </c>
      <c r="G213" s="3">
        <v>953082.94641051604</v>
      </c>
      <c r="H213" s="3">
        <v>680006.34277047496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410628.16177957499</v>
      </c>
      <c r="P213" s="3">
        <v>411139.48837209301</v>
      </c>
    </row>
    <row r="215" spans="1:16" x14ac:dyDescent="0.2">
      <c r="A215" s="1" t="s">
        <v>204</v>
      </c>
      <c r="B215" s="3">
        <v>33617971.697206602</v>
      </c>
      <c r="C215" s="3">
        <v>35728881.476240903</v>
      </c>
      <c r="D215" s="3">
        <v>53447409.645863503</v>
      </c>
      <c r="E215" s="3">
        <v>45654134.2004079</v>
      </c>
      <c r="F215" s="3">
        <v>47463147.998440199</v>
      </c>
      <c r="G215" s="3">
        <v>23116853.549185101</v>
      </c>
      <c r="H215" s="3">
        <v>32800122.778012998</v>
      </c>
      <c r="I215" s="3">
        <v>23737806.846583702</v>
      </c>
      <c r="J215" s="3">
        <v>15794721.123248899</v>
      </c>
      <c r="K215" s="3">
        <v>23846050.717203699</v>
      </c>
      <c r="L215" s="3">
        <v>22161635.738999099</v>
      </c>
      <c r="M215" s="3">
        <v>14733570.8010158</v>
      </c>
      <c r="N215" s="3">
        <v>16048689.440818399</v>
      </c>
      <c r="O215" s="3">
        <v>32615587.164682101</v>
      </c>
      <c r="P215" s="3">
        <v>32026649.4069505</v>
      </c>
    </row>
    <row r="216" spans="1:16" x14ac:dyDescent="0.2">
      <c r="A216" s="1" t="s">
        <v>205</v>
      </c>
      <c r="B216" s="3">
        <v>0</v>
      </c>
      <c r="C216" s="3">
        <v>216994.04396552901</v>
      </c>
      <c r="D216" s="3">
        <v>408910.51852185302</v>
      </c>
      <c r="E216" s="3">
        <v>293929.554467396</v>
      </c>
      <c r="F216" s="3">
        <v>680215.073796554</v>
      </c>
      <c r="G216" s="3">
        <v>241245.995458344</v>
      </c>
      <c r="H216" s="3">
        <v>457338.19529025402</v>
      </c>
      <c r="I216" s="3">
        <v>9016484.9386656992</v>
      </c>
      <c r="J216" s="3">
        <v>5523039.3202658501</v>
      </c>
      <c r="K216" s="3">
        <v>8204432.09933009</v>
      </c>
      <c r="L216" s="3">
        <v>8265808.74451451</v>
      </c>
      <c r="M216" s="3">
        <v>5619590.32695721</v>
      </c>
      <c r="N216" s="3">
        <v>6323977.6574061997</v>
      </c>
      <c r="O216" s="3">
        <v>4563080.0649858704</v>
      </c>
      <c r="P216" s="3">
        <v>4441952.43648786</v>
      </c>
    </row>
    <row r="217" spans="1:16" x14ac:dyDescent="0.2">
      <c r="A217" s="1" t="s">
        <v>206</v>
      </c>
      <c r="B217" s="3">
        <v>0</v>
      </c>
      <c r="C217" s="3">
        <v>1690274.79660878</v>
      </c>
      <c r="D217" s="3">
        <v>2540968.63525555</v>
      </c>
      <c r="E217" s="3">
        <v>2071513.5323063401</v>
      </c>
      <c r="F217" s="3">
        <v>4422226.5955084898</v>
      </c>
      <c r="G217" s="3">
        <v>2023837.95831169</v>
      </c>
      <c r="H217" s="3">
        <v>3250009.0667084302</v>
      </c>
      <c r="I217" s="3">
        <v>764982.68179065804</v>
      </c>
      <c r="J217" s="3">
        <v>425100.659089147</v>
      </c>
      <c r="K217" s="3">
        <v>773574.55259757896</v>
      </c>
      <c r="L217" s="3">
        <v>1098585.5597824701</v>
      </c>
      <c r="M217" s="3">
        <v>683499.874043599</v>
      </c>
      <c r="N217" s="3">
        <v>724930.25477634196</v>
      </c>
      <c r="O217" s="3">
        <v>1790170.9457183201</v>
      </c>
      <c r="P217" s="3">
        <v>1741662.7409001801</v>
      </c>
    </row>
    <row r="218" spans="1:16" x14ac:dyDescent="0.2">
      <c r="A218" s="1" t="s">
        <v>207</v>
      </c>
      <c r="B218" s="3">
        <v>0</v>
      </c>
      <c r="C218" s="3">
        <v>95109.123552073506</v>
      </c>
      <c r="D218" s="3">
        <v>143430.37143584801</v>
      </c>
      <c r="E218" s="3">
        <v>110916.72366770099</v>
      </c>
      <c r="F218" s="3">
        <v>243007.12223045199</v>
      </c>
      <c r="G218" s="3">
        <v>115359.203967936</v>
      </c>
      <c r="H218" s="3">
        <v>185991.78117573599</v>
      </c>
      <c r="I218" s="3">
        <v>2900266.06679733</v>
      </c>
      <c r="J218" s="3">
        <v>1832321.9787349601</v>
      </c>
      <c r="K218" s="3">
        <v>2875815.4346600398</v>
      </c>
      <c r="L218" s="3">
        <v>3866402.1948429202</v>
      </c>
      <c r="M218" s="3">
        <v>2660153.9438483799</v>
      </c>
      <c r="N218" s="3">
        <v>2869285.0368886502</v>
      </c>
      <c r="O218" s="3">
        <v>1759612.1126983101</v>
      </c>
      <c r="P218" s="3">
        <v>1726475.88736827</v>
      </c>
    </row>
    <row r="219" spans="1:16" x14ac:dyDescent="0.2">
      <c r="A219" s="1" t="s">
        <v>208</v>
      </c>
      <c r="B219" s="3">
        <v>0</v>
      </c>
      <c r="C219" s="3">
        <v>48378.175893110201</v>
      </c>
      <c r="D219" s="3">
        <v>68399.633168756001</v>
      </c>
      <c r="E219" s="3">
        <v>58648.338544169397</v>
      </c>
      <c r="F219" s="3">
        <v>150543.23709158201</v>
      </c>
      <c r="G219" s="3">
        <v>75182.672597173005</v>
      </c>
      <c r="H219" s="3">
        <v>119959.186625485</v>
      </c>
      <c r="I219" s="3">
        <v>1692549.6436131699</v>
      </c>
      <c r="J219" s="3">
        <v>1040514.60568939</v>
      </c>
      <c r="K219" s="3">
        <v>1599464.6206731</v>
      </c>
      <c r="L219" s="3">
        <v>1923683.1566137399</v>
      </c>
      <c r="M219" s="3">
        <v>1316505.7735115299</v>
      </c>
      <c r="N219" s="3">
        <v>1460333.7329462499</v>
      </c>
      <c r="O219" s="3">
        <v>956080.78514018096</v>
      </c>
      <c r="P219" s="3">
        <v>922215.66155657999</v>
      </c>
    </row>
    <row r="220" spans="1:16" x14ac:dyDescent="0.2">
      <c r="A220" s="1" t="s">
        <v>209</v>
      </c>
      <c r="B220" s="3">
        <v>0</v>
      </c>
      <c r="C220" s="3">
        <v>11802.761573693</v>
      </c>
      <c r="D220" s="3">
        <v>20360.678672667</v>
      </c>
      <c r="E220" s="3">
        <v>20058.8770649174</v>
      </c>
      <c r="F220" s="3">
        <v>27760.050242669698</v>
      </c>
      <c r="G220" s="3">
        <v>14782.461850218</v>
      </c>
      <c r="H220" s="3">
        <v>21177.373654064399</v>
      </c>
      <c r="I220" s="3">
        <v>15962134.4514386</v>
      </c>
      <c r="J220" s="3">
        <v>9868343.0580904596</v>
      </c>
      <c r="K220" s="3">
        <v>14707776.3452175</v>
      </c>
      <c r="L220" s="3">
        <v>11644619.0803241</v>
      </c>
      <c r="M220" s="3">
        <v>7665917.98757663</v>
      </c>
      <c r="N220" s="3">
        <v>9080593.5751605891</v>
      </c>
      <c r="O220" s="3">
        <v>6997148.6280102897</v>
      </c>
      <c r="P220" s="3">
        <v>6829968.1538529703</v>
      </c>
    </row>
    <row r="222" spans="1:16" x14ac:dyDescent="0.2">
      <c r="A222" s="1" t="s">
        <v>210</v>
      </c>
      <c r="B222" s="3">
        <v>7716432.0204516202</v>
      </c>
      <c r="C222" s="3">
        <v>11115794.7382573</v>
      </c>
      <c r="D222" s="3">
        <v>13001630.824041</v>
      </c>
      <c r="E222" s="3">
        <v>16465356.476046599</v>
      </c>
      <c r="F222" s="3">
        <v>12725685.048069401</v>
      </c>
      <c r="G222" s="3">
        <v>14096292.146563301</v>
      </c>
      <c r="H222" s="3">
        <v>8127843.2778180903</v>
      </c>
      <c r="I222" s="3">
        <v>7202964.8231669497</v>
      </c>
      <c r="J222" s="3">
        <v>8902381.9664121494</v>
      </c>
      <c r="K222" s="3">
        <v>10371528.822852399</v>
      </c>
      <c r="L222" s="3">
        <v>10025003.646687999</v>
      </c>
      <c r="M222" s="3">
        <v>8675889.9635114297</v>
      </c>
      <c r="N222" s="3">
        <v>9244760.0136143193</v>
      </c>
      <c r="O222" s="3">
        <v>10489447.2139924</v>
      </c>
      <c r="P222" s="3">
        <v>10434165.9003767</v>
      </c>
    </row>
    <row r="223" spans="1:16" x14ac:dyDescent="0.2">
      <c r="A223" s="1" t="s">
        <v>211</v>
      </c>
      <c r="B223" s="3">
        <v>0</v>
      </c>
      <c r="C223" s="3">
        <v>59246.930648605703</v>
      </c>
      <c r="D223" s="3">
        <v>68603.880857902303</v>
      </c>
      <c r="E223" s="3">
        <v>100545.29323683699</v>
      </c>
      <c r="F223" s="3">
        <v>68228.815106400303</v>
      </c>
      <c r="G223" s="3">
        <v>69843.863962711999</v>
      </c>
      <c r="H223" s="3">
        <v>0</v>
      </c>
      <c r="I223" s="3">
        <v>55790.011191940699</v>
      </c>
      <c r="J223" s="3">
        <v>61643.6372201907</v>
      </c>
      <c r="K223" s="3">
        <v>55417.184932352597</v>
      </c>
      <c r="L223" s="3">
        <v>73905.370142078798</v>
      </c>
      <c r="M223" s="3">
        <v>50835.809081885302</v>
      </c>
      <c r="N223" s="3">
        <v>68852.837532877893</v>
      </c>
      <c r="O223" s="3">
        <v>65873.922247929804</v>
      </c>
      <c r="P223" s="3">
        <v>59227.136668398198</v>
      </c>
    </row>
    <row r="224" spans="1:16" x14ac:dyDescent="0.2">
      <c r="A224" s="1" t="s">
        <v>212</v>
      </c>
      <c r="B224" s="3">
        <v>0</v>
      </c>
      <c r="C224" s="3">
        <v>22274.232585829599</v>
      </c>
      <c r="D224" s="3">
        <v>30401.850544762299</v>
      </c>
      <c r="E224" s="3">
        <v>41201.463094826999</v>
      </c>
      <c r="F224" s="3">
        <v>32931.370762418002</v>
      </c>
      <c r="G224" s="3">
        <v>35332.697197619898</v>
      </c>
      <c r="H224" s="3">
        <v>10740.0006625556</v>
      </c>
      <c r="I224" s="3">
        <v>6366.1567924009196</v>
      </c>
      <c r="J224" s="3">
        <v>12931.091353175199</v>
      </c>
      <c r="K224" s="3">
        <v>17714.591397541499</v>
      </c>
      <c r="L224" s="3">
        <v>15999.287588237999</v>
      </c>
      <c r="M224" s="3">
        <v>12018.4379456303</v>
      </c>
      <c r="N224" s="3">
        <v>11225.826462171701</v>
      </c>
      <c r="O224" s="3">
        <v>20527.289119565299</v>
      </c>
      <c r="P224" s="3">
        <v>15105.9666057387</v>
      </c>
    </row>
    <row r="225" spans="1:16" x14ac:dyDescent="0.2">
      <c r="A225" s="1" t="s">
        <v>213</v>
      </c>
      <c r="B225" s="3">
        <v>0</v>
      </c>
      <c r="C225" s="3">
        <v>0</v>
      </c>
      <c r="D225" s="3">
        <v>4945.0022898848902</v>
      </c>
      <c r="E225" s="3">
        <v>5604.1519029004603</v>
      </c>
      <c r="F225" s="3">
        <v>3067.5438816251599</v>
      </c>
      <c r="G225" s="3">
        <v>6358.8985610042</v>
      </c>
      <c r="H225" s="3">
        <v>0</v>
      </c>
      <c r="I225" s="3">
        <v>9739.8316479983005</v>
      </c>
      <c r="J225" s="3">
        <v>9010.8219810988503</v>
      </c>
      <c r="K225" s="3">
        <v>12070.7907594876</v>
      </c>
      <c r="L225" s="3">
        <v>11470.903640274701</v>
      </c>
      <c r="M225" s="3">
        <v>9941.3136383907604</v>
      </c>
      <c r="N225" s="3">
        <v>7562.0474029392299</v>
      </c>
      <c r="O225" s="3">
        <v>6923.9697299341697</v>
      </c>
      <c r="P225" s="3">
        <v>6490.1884267181404</v>
      </c>
    </row>
    <row r="226" spans="1:16" x14ac:dyDescent="0.2">
      <c r="A226" s="1" t="s">
        <v>214</v>
      </c>
      <c r="B226" s="3">
        <v>0</v>
      </c>
      <c r="C226" s="3">
        <v>14883.967225855</v>
      </c>
      <c r="D226" s="3">
        <v>18214.087315274701</v>
      </c>
      <c r="E226" s="3">
        <v>18823.572741176798</v>
      </c>
      <c r="F226" s="3">
        <v>17855.079857824901</v>
      </c>
      <c r="G226" s="3">
        <v>14921.333257103501</v>
      </c>
      <c r="H226" s="3">
        <v>11415.960016552701</v>
      </c>
      <c r="I226" s="3">
        <v>10696.6991303739</v>
      </c>
      <c r="J226" s="3">
        <v>9649.6869310518905</v>
      </c>
      <c r="K226" s="3">
        <v>10204.4936947722</v>
      </c>
      <c r="L226" s="3">
        <v>11748.1419758789</v>
      </c>
      <c r="M226" s="3">
        <v>10378.789066019101</v>
      </c>
      <c r="N226" s="3">
        <v>10738.8018342918</v>
      </c>
      <c r="O226" s="3">
        <v>14026.5106349036</v>
      </c>
      <c r="P226" s="3">
        <v>14436.403967893601</v>
      </c>
    </row>
    <row r="227" spans="1:16" x14ac:dyDescent="0.2">
      <c r="A227" s="1" t="s">
        <v>215</v>
      </c>
      <c r="B227" s="3">
        <v>0</v>
      </c>
      <c r="C227" s="3"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74023.157789936493</v>
      </c>
      <c r="J227" s="3">
        <v>81544.763134298701</v>
      </c>
      <c r="K227" s="3">
        <v>86227.290003675604</v>
      </c>
      <c r="L227" s="3">
        <v>73210.382458924898</v>
      </c>
      <c r="M227" s="3">
        <v>63239.630421323498</v>
      </c>
      <c r="N227" s="3">
        <v>74519.958172087005</v>
      </c>
      <c r="O227" s="3">
        <v>42530.870582678697</v>
      </c>
      <c r="P227" s="3">
        <v>42459.414243553503</v>
      </c>
    </row>
    <row r="229" spans="1:16" x14ac:dyDescent="0.2">
      <c r="A229" s="1" t="s">
        <v>216</v>
      </c>
      <c r="B229" s="3">
        <v>2443540.0696034799</v>
      </c>
      <c r="C229" s="3">
        <v>1493632.67772811</v>
      </c>
      <c r="D229" s="3">
        <v>2847967.9196385401</v>
      </c>
      <c r="E229" s="3">
        <v>2022073.0908452</v>
      </c>
      <c r="F229" s="3">
        <v>1769740.37204693</v>
      </c>
      <c r="G229" s="3">
        <v>1097052.9782279399</v>
      </c>
      <c r="H229" s="3">
        <v>1125965.63922774</v>
      </c>
      <c r="I229" s="3">
        <v>4703658.5651607001</v>
      </c>
      <c r="J229" s="3">
        <v>4578875.8661265504</v>
      </c>
      <c r="K229" s="3">
        <v>4500399.5294752596</v>
      </c>
      <c r="L229" s="3">
        <v>2966501.6631954201</v>
      </c>
      <c r="M229" s="3">
        <v>3049319.70588551</v>
      </c>
      <c r="N229" s="3">
        <v>3729023.0899152998</v>
      </c>
      <c r="O229" s="3">
        <v>2888259.9854181302</v>
      </c>
      <c r="P229" s="3">
        <v>2761082.1118859099</v>
      </c>
    </row>
    <row r="230" spans="1:16" x14ac:dyDescent="0.2">
      <c r="A230" s="1" t="s">
        <v>217</v>
      </c>
      <c r="B230" s="3">
        <v>0</v>
      </c>
      <c r="C230" s="3">
        <v>24966.783131863001</v>
      </c>
      <c r="D230" s="3">
        <v>39533.259612749804</v>
      </c>
      <c r="E230" s="3">
        <v>29376.262168188099</v>
      </c>
      <c r="F230" s="3">
        <v>18236.325218712002</v>
      </c>
      <c r="G230" s="3">
        <v>16838.746584655099</v>
      </c>
      <c r="H230" s="3">
        <v>8122.8078926497101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14015.4075093914</v>
      </c>
      <c r="P230" s="3">
        <v>4184.3605444738796</v>
      </c>
    </row>
    <row r="231" spans="1:16" x14ac:dyDescent="0.2">
      <c r="A231" s="1" t="s">
        <v>218</v>
      </c>
      <c r="B231" s="3">
        <v>0</v>
      </c>
      <c r="C231" s="3">
        <v>39720.724100760301</v>
      </c>
      <c r="D231" s="3">
        <v>71814.603547207502</v>
      </c>
      <c r="E231" s="3">
        <v>40742.306252161397</v>
      </c>
      <c r="F231" s="3">
        <v>31697.788517605601</v>
      </c>
      <c r="G231" s="3">
        <v>17427.7258271229</v>
      </c>
      <c r="H231" s="3">
        <v>15960.8517587438</v>
      </c>
      <c r="I231" s="3">
        <v>10673.004690865</v>
      </c>
      <c r="J231" s="3">
        <v>10766.834683212999</v>
      </c>
      <c r="K231" s="3">
        <v>9655.7867096964801</v>
      </c>
      <c r="L231" s="3">
        <v>2210.56939046445</v>
      </c>
      <c r="M231" s="3">
        <v>8010.6378868728998</v>
      </c>
      <c r="N231" s="3">
        <v>6525.2806848603796</v>
      </c>
      <c r="O231" s="3">
        <v>23610.106370671201</v>
      </c>
      <c r="P231" s="3">
        <v>24374.071655510299</v>
      </c>
    </row>
    <row r="232" spans="1:16" x14ac:dyDescent="0.2">
      <c r="A232" s="1" t="s">
        <v>219</v>
      </c>
      <c r="B232" s="3">
        <v>0</v>
      </c>
      <c r="C232" s="3">
        <v>1041954.5300509901</v>
      </c>
      <c r="D232" s="3">
        <v>1933409.73483342</v>
      </c>
      <c r="E232" s="3">
        <v>1411389.7591003601</v>
      </c>
      <c r="F232" s="3">
        <v>1249743.5967278101</v>
      </c>
      <c r="G232" s="3">
        <v>807593.736524418</v>
      </c>
      <c r="H232" s="3">
        <v>771687.92676775204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631755.07196246705</v>
      </c>
      <c r="P232" s="3">
        <v>605400.85790101602</v>
      </c>
    </row>
    <row r="234" spans="1:16" x14ac:dyDescent="0.2">
      <c r="A234" s="1" t="s">
        <v>220</v>
      </c>
      <c r="B234" s="3">
        <v>22792.657596333102</v>
      </c>
      <c r="C234" s="3">
        <v>9096.5109999283104</v>
      </c>
      <c r="D234" s="3">
        <v>6030.45958848391</v>
      </c>
      <c r="E234" s="3">
        <v>9543.2944478619193</v>
      </c>
      <c r="F234" s="3">
        <v>6196.8864228391803</v>
      </c>
      <c r="G234" s="3">
        <v>31318.402741526301</v>
      </c>
      <c r="H234" s="3">
        <v>17174.355738568</v>
      </c>
      <c r="I234" s="3">
        <v>29237.5088327755</v>
      </c>
      <c r="J234" s="3">
        <v>8380.5405246147002</v>
      </c>
      <c r="K234" s="3">
        <v>9362.3471514488101</v>
      </c>
      <c r="L234" s="3">
        <v>7765.0963250861496</v>
      </c>
      <c r="M234" s="3">
        <v>10767.481095200001</v>
      </c>
      <c r="N234" s="3">
        <v>9700.7856132585202</v>
      </c>
      <c r="O234" s="3">
        <v>11040.0189984395</v>
      </c>
      <c r="P234" s="3">
        <v>15879.800698180399</v>
      </c>
    </row>
    <row r="235" spans="1:16" x14ac:dyDescent="0.2">
      <c r="A235" s="1" t="s">
        <v>221</v>
      </c>
      <c r="B235" s="3">
        <v>0</v>
      </c>
      <c r="C235" s="3"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</row>
    <row r="236" spans="1:16" x14ac:dyDescent="0.2">
      <c r="A236" s="1" t="s">
        <v>222</v>
      </c>
      <c r="B236" s="3">
        <v>0</v>
      </c>
      <c r="C236" s="3">
        <v>0</v>
      </c>
      <c r="D236" s="3">
        <v>0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</row>
    <row r="237" spans="1:16" x14ac:dyDescent="0.2">
      <c r="A237" s="1" t="s">
        <v>223</v>
      </c>
      <c r="B237" s="3">
        <v>0</v>
      </c>
      <c r="C237" s="3"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</row>
    <row r="238" spans="1:16" x14ac:dyDescent="0.2">
      <c r="A238" s="1" t="s">
        <v>224</v>
      </c>
      <c r="B238" s="3">
        <v>0</v>
      </c>
      <c r="C238" s="3">
        <v>0</v>
      </c>
      <c r="D238" s="3">
        <v>0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</row>
    <row r="239" spans="1:16" x14ac:dyDescent="0.2">
      <c r="A239" s="1" t="s">
        <v>225</v>
      </c>
      <c r="B239" s="3">
        <v>0</v>
      </c>
      <c r="C239" s="3"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</row>
    <row r="240" spans="1:16" x14ac:dyDescent="0.2">
      <c r="A240" s="1" t="s">
        <v>226</v>
      </c>
      <c r="B240" s="3">
        <v>0</v>
      </c>
      <c r="C240" s="3">
        <v>0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</row>
    <row r="241" spans="1:16" x14ac:dyDescent="0.2">
      <c r="A241" s="1" t="s">
        <v>227</v>
      </c>
      <c r="B241" s="3">
        <v>0</v>
      </c>
      <c r="C241" s="3"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</row>
    <row r="242" spans="1:16" x14ac:dyDescent="0.2">
      <c r="A242" s="1" t="s">
        <v>228</v>
      </c>
      <c r="B242" s="3">
        <v>0</v>
      </c>
      <c r="C242" s="3">
        <v>0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</row>
    <row r="243" spans="1:16" x14ac:dyDescent="0.2">
      <c r="A243" s="1" t="s">
        <v>229</v>
      </c>
      <c r="B243" s="3">
        <v>0</v>
      </c>
      <c r="C243" s="3"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</row>
    <row r="244" spans="1:16" x14ac:dyDescent="0.2">
      <c r="A244" s="1" t="s">
        <v>230</v>
      </c>
      <c r="B244" s="3">
        <v>0</v>
      </c>
      <c r="C244" s="3">
        <v>0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</row>
    <row r="246" spans="1:16" x14ac:dyDescent="0.2">
      <c r="A246" s="1" t="s">
        <v>231</v>
      </c>
      <c r="B246" s="3">
        <v>223405.12747024299</v>
      </c>
      <c r="C246" s="3">
        <v>238976.64758934901</v>
      </c>
      <c r="D246" s="3">
        <v>339222.56676083303</v>
      </c>
      <c r="E246" s="3">
        <v>237163.823749359</v>
      </c>
      <c r="F246" s="3">
        <v>264661.11105243303</v>
      </c>
      <c r="G246" s="3">
        <v>180127.44878615401</v>
      </c>
      <c r="H246" s="3">
        <v>208967.320350269</v>
      </c>
      <c r="I246" s="3">
        <v>217441.68539894899</v>
      </c>
      <c r="J246" s="3">
        <v>249553.128760558</v>
      </c>
      <c r="K246" s="3">
        <v>235518.54370234301</v>
      </c>
      <c r="L246" s="3">
        <v>267530.57774678699</v>
      </c>
      <c r="M246" s="3">
        <v>265598.23933447403</v>
      </c>
      <c r="N246" s="3">
        <v>327932.34903155098</v>
      </c>
      <c r="O246" s="3">
        <v>252102.02833101901</v>
      </c>
      <c r="P246" s="3">
        <v>226338.26080592701</v>
      </c>
    </row>
    <row r="247" spans="1:16" x14ac:dyDescent="0.2">
      <c r="A247" s="1" t="s">
        <v>232</v>
      </c>
      <c r="B247" s="3">
        <v>0</v>
      </c>
      <c r="C247" s="3">
        <v>3343.2168742458798</v>
      </c>
      <c r="D247" s="3">
        <v>4159.3550816275902</v>
      </c>
      <c r="E247" s="3">
        <v>6574.9523425633597</v>
      </c>
      <c r="F247" s="3">
        <v>0</v>
      </c>
      <c r="G247" s="3">
        <v>2419.7445282912199</v>
      </c>
      <c r="H247" s="3">
        <v>3034.1745293929598</v>
      </c>
      <c r="I247" s="3">
        <v>31453.131407209301</v>
      </c>
      <c r="J247" s="3">
        <v>24193.709056328898</v>
      </c>
      <c r="K247" s="3">
        <v>21957.3255720282</v>
      </c>
      <c r="L247" s="3">
        <v>28463.110252058399</v>
      </c>
      <c r="M247" s="3">
        <v>25904.045241198</v>
      </c>
      <c r="N247" s="3">
        <v>27646.060606442901</v>
      </c>
      <c r="O247" s="3">
        <v>13764.7077504075</v>
      </c>
      <c r="P247" s="3">
        <v>18749.518708223401</v>
      </c>
    </row>
    <row r="248" spans="1:16" x14ac:dyDescent="0.2">
      <c r="A248" s="1" t="s">
        <v>233</v>
      </c>
      <c r="B248" s="3">
        <v>0</v>
      </c>
      <c r="C248" s="3">
        <v>18638.887820488701</v>
      </c>
      <c r="D248" s="3">
        <v>30221.169731549999</v>
      </c>
      <c r="E248" s="3">
        <v>23802.345452709302</v>
      </c>
      <c r="F248" s="3">
        <v>22238.590337748101</v>
      </c>
      <c r="G248" s="3">
        <v>8895.7657292592903</v>
      </c>
      <c r="H248" s="3">
        <v>12986.8056290437</v>
      </c>
      <c r="I248" s="3">
        <v>33715.800029628699</v>
      </c>
      <c r="J248" s="3">
        <v>28434.315755821201</v>
      </c>
      <c r="K248" s="3">
        <v>27709.536677878499</v>
      </c>
      <c r="L248" s="3">
        <v>26304.474862847099</v>
      </c>
      <c r="M248" s="3">
        <v>30324.4299869489</v>
      </c>
      <c r="N248" s="3">
        <v>40317.147597752402</v>
      </c>
      <c r="O248" s="3">
        <v>25092.658084323299</v>
      </c>
      <c r="P248" s="3">
        <v>18341.644398764998</v>
      </c>
    </row>
    <row r="249" spans="1:16" x14ac:dyDescent="0.2">
      <c r="A249" s="1" t="s">
        <v>234</v>
      </c>
      <c r="B249" s="3">
        <v>0</v>
      </c>
      <c r="C249" s="3">
        <v>24145.941769496902</v>
      </c>
      <c r="D249" s="3">
        <v>27746.618006395998</v>
      </c>
      <c r="E249" s="3">
        <v>20616.4151875344</v>
      </c>
      <c r="F249" s="3">
        <v>15823.139467835501</v>
      </c>
      <c r="G249" s="3">
        <v>17417.9064053455</v>
      </c>
      <c r="H249" s="3">
        <v>19450.693487619901</v>
      </c>
      <c r="I249" s="3">
        <v>18404.968971371902</v>
      </c>
      <c r="J249" s="3">
        <v>20518.874554393198</v>
      </c>
      <c r="K249" s="3">
        <v>24823.646370262399</v>
      </c>
      <c r="L249" s="3">
        <v>23293.876168070401</v>
      </c>
      <c r="M249" s="3">
        <v>21236.509215249102</v>
      </c>
      <c r="N249" s="3">
        <v>23220.458197169599</v>
      </c>
      <c r="O249" s="3">
        <v>26855.160557684099</v>
      </c>
      <c r="P249" s="3">
        <v>20097.403880887301</v>
      </c>
    </row>
    <row r="250" spans="1:16" x14ac:dyDescent="0.2">
      <c r="A250" s="1" t="s">
        <v>235</v>
      </c>
      <c r="B250" s="3">
        <v>0</v>
      </c>
      <c r="C250" s="3">
        <v>5628.28966805864</v>
      </c>
      <c r="D250" s="3">
        <v>6650.7744567005702</v>
      </c>
      <c r="E250" s="3">
        <v>7823.1786590997999</v>
      </c>
      <c r="F250" s="3">
        <v>6432.2029103964396</v>
      </c>
      <c r="G250" s="3">
        <v>4784.8123527919197</v>
      </c>
      <c r="H250" s="3">
        <v>4906.15986053284</v>
      </c>
      <c r="I250" s="3">
        <v>7863.6976656410498</v>
      </c>
      <c r="J250" s="3">
        <v>4432.8220312491103</v>
      </c>
      <c r="K250" s="3">
        <v>4564.3842619050001</v>
      </c>
      <c r="L250" s="3">
        <v>4710.4465001911803</v>
      </c>
      <c r="M250" s="3">
        <v>5425.8858510447699</v>
      </c>
      <c r="N250" s="3">
        <v>8445.1187187265696</v>
      </c>
      <c r="O250" s="3">
        <v>6065.7003365799901</v>
      </c>
      <c r="P250" s="3">
        <v>5775.3984457556999</v>
      </c>
    </row>
    <row r="251" spans="1:16" x14ac:dyDescent="0.2">
      <c r="A251" s="1" t="s">
        <v>236</v>
      </c>
      <c r="B251" s="3">
        <v>0</v>
      </c>
      <c r="C251" s="3">
        <v>27850.935762409899</v>
      </c>
      <c r="D251" s="3">
        <v>34207.425280144598</v>
      </c>
      <c r="E251" s="3">
        <v>26321.039806362402</v>
      </c>
      <c r="F251" s="3">
        <v>26626.884681813899</v>
      </c>
      <c r="G251" s="3">
        <v>19124.262941193501</v>
      </c>
      <c r="H251" s="3">
        <v>20041.127808582602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13082.5174636053</v>
      </c>
      <c r="P251" s="3">
        <v>11333.807865131699</v>
      </c>
    </row>
    <row r="252" spans="1:16" x14ac:dyDescent="0.2">
      <c r="A252" s="1" t="s">
        <v>237</v>
      </c>
      <c r="B252" s="3">
        <v>0</v>
      </c>
      <c r="C252" s="3">
        <v>0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</row>
    <row r="253" spans="1:16" x14ac:dyDescent="0.2">
      <c r="A253" s="1" t="s">
        <v>238</v>
      </c>
      <c r="B253" s="3">
        <v>0</v>
      </c>
      <c r="C253" s="3"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</row>
    <row r="254" spans="1:16" x14ac:dyDescent="0.2">
      <c r="A254" s="1" t="s">
        <v>239</v>
      </c>
      <c r="B254" s="3">
        <v>0</v>
      </c>
      <c r="C254" s="3">
        <v>0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</row>
    <row r="255" spans="1:16" x14ac:dyDescent="0.2">
      <c r="A255" s="1" t="s">
        <v>240</v>
      </c>
      <c r="B255" s="3">
        <v>0</v>
      </c>
      <c r="C255" s="3"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</row>
    <row r="256" spans="1:16" x14ac:dyDescent="0.2">
      <c r="A256" s="1" t="s">
        <v>241</v>
      </c>
      <c r="B256" s="3">
        <v>0</v>
      </c>
      <c r="C256" s="3">
        <v>0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</row>
    <row r="258" spans="1:16" x14ac:dyDescent="0.2">
      <c r="A258" s="1" t="s">
        <v>242</v>
      </c>
      <c r="B258" s="3">
        <v>82528.254897927502</v>
      </c>
      <c r="C258" s="3">
        <v>72864.747549108302</v>
      </c>
      <c r="D258" s="3">
        <v>82854.183211693904</v>
      </c>
      <c r="E258" s="3">
        <v>71094.048480547703</v>
      </c>
      <c r="F258" s="3">
        <v>70825.825507579299</v>
      </c>
      <c r="G258" s="3">
        <v>47394.251291328197</v>
      </c>
      <c r="H258" s="3">
        <v>60370.472648921001</v>
      </c>
      <c r="I258" s="3">
        <v>59838.3011726728</v>
      </c>
      <c r="J258" s="3">
        <v>47263.879965821601</v>
      </c>
      <c r="K258" s="3">
        <v>62718.225125461497</v>
      </c>
      <c r="L258" s="3">
        <v>65449.611256566401</v>
      </c>
      <c r="M258" s="3">
        <v>64478.238019800199</v>
      </c>
      <c r="N258" s="3">
        <v>61631.441207099298</v>
      </c>
      <c r="O258" s="3">
        <v>47090.763943427599</v>
      </c>
      <c r="P258" s="3">
        <v>56277.667921952299</v>
      </c>
    </row>
    <row r="259" spans="1:16" x14ac:dyDescent="0.2">
      <c r="A259" s="1" t="s">
        <v>243</v>
      </c>
      <c r="B259" s="3">
        <v>0</v>
      </c>
      <c r="C259" s="3">
        <v>0</v>
      </c>
      <c r="D259" s="3">
        <v>2046.9740738052001</v>
      </c>
      <c r="E259" s="3">
        <v>0</v>
      </c>
      <c r="F259" s="3">
        <v>1329.5321206031499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2792.77713339204</v>
      </c>
    </row>
    <row r="260" spans="1:16" x14ac:dyDescent="0.2">
      <c r="A260" s="1" t="s">
        <v>244</v>
      </c>
      <c r="B260" s="3">
        <v>0</v>
      </c>
      <c r="C260" s="3">
        <v>5601.9214420436301</v>
      </c>
      <c r="D260" s="3">
        <v>9632.29610298642</v>
      </c>
      <c r="E260" s="3">
        <v>9110.8606337963702</v>
      </c>
      <c r="F260" s="3">
        <v>19413.2470594308</v>
      </c>
      <c r="G260" s="3">
        <v>24061.047879265901</v>
      </c>
      <c r="H260" s="3">
        <v>12048.626023292099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8789.3784321176499</v>
      </c>
      <c r="O260" s="3">
        <v>6754.5621181060696</v>
      </c>
      <c r="P260" s="3">
        <v>11461.3616477776</v>
      </c>
    </row>
    <row r="261" spans="1:16" x14ac:dyDescent="0.2">
      <c r="A261" s="1" t="s">
        <v>245</v>
      </c>
      <c r="B261" s="3">
        <v>0</v>
      </c>
      <c r="C261" s="3"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</row>
    <row r="262" spans="1:16" x14ac:dyDescent="0.2">
      <c r="A262" s="1" t="s">
        <v>246</v>
      </c>
      <c r="B262" s="3">
        <v>0</v>
      </c>
      <c r="C262" s="3">
        <v>0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13488.1062772397</v>
      </c>
      <c r="J262" s="3">
        <v>9601.0616273446703</v>
      </c>
      <c r="K262" s="3">
        <v>7347.7616777474404</v>
      </c>
      <c r="L262" s="3">
        <v>19225.637727847599</v>
      </c>
      <c r="M262" s="3">
        <v>23031.915274286101</v>
      </c>
      <c r="N262" s="3">
        <v>25001.772299233799</v>
      </c>
      <c r="O262" s="3">
        <v>12594.7643271202</v>
      </c>
      <c r="P262" s="3">
        <v>8503.9183347225699</v>
      </c>
    </row>
    <row r="263" spans="1:16" x14ac:dyDescent="0.2">
      <c r="A263" s="1" t="s">
        <v>247</v>
      </c>
      <c r="B263" s="3">
        <v>0</v>
      </c>
      <c r="C263" s="3"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6544.5154536095197</v>
      </c>
      <c r="J263" s="3">
        <v>13090.091103248</v>
      </c>
      <c r="K263" s="3">
        <v>14184.153085354499</v>
      </c>
      <c r="L263" s="3">
        <v>1179.66488808644</v>
      </c>
      <c r="M263" s="3">
        <v>7450.8307254419396</v>
      </c>
      <c r="N263" s="3">
        <v>4685.5525159891504</v>
      </c>
      <c r="O263" s="3">
        <v>0</v>
      </c>
      <c r="P263" s="3">
        <v>0</v>
      </c>
    </row>
    <row r="264" spans="1:16" x14ac:dyDescent="0.2">
      <c r="A264" s="1" t="s">
        <v>248</v>
      </c>
      <c r="B264" s="3">
        <v>0</v>
      </c>
      <c r="C264" s="3">
        <v>0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</row>
    <row r="266" spans="1:16" x14ac:dyDescent="0.2">
      <c r="A266" s="1" t="s">
        <v>249</v>
      </c>
      <c r="B266" s="3">
        <v>120636097.8936</v>
      </c>
      <c r="C266" s="3">
        <v>122932030.295279</v>
      </c>
      <c r="D266" s="3">
        <v>131978143.32666101</v>
      </c>
      <c r="E266" s="3">
        <v>159119689.08083701</v>
      </c>
      <c r="F266" s="3">
        <v>145415492.99282801</v>
      </c>
      <c r="G266" s="3">
        <v>155507356.57689199</v>
      </c>
      <c r="H266" s="3">
        <v>105648703.349647</v>
      </c>
      <c r="I266" s="3">
        <v>163957043.24728599</v>
      </c>
      <c r="J266" s="3">
        <v>178673751.02703199</v>
      </c>
      <c r="K266" s="3">
        <v>199402140.04902801</v>
      </c>
      <c r="L266" s="3">
        <v>203386259.04351401</v>
      </c>
      <c r="M266" s="3">
        <v>190081096.75265601</v>
      </c>
      <c r="N266" s="3">
        <v>195092208.06225699</v>
      </c>
      <c r="O266" s="3">
        <v>166066410.47299999</v>
      </c>
      <c r="P266" s="3">
        <v>156321371.67097101</v>
      </c>
    </row>
    <row r="267" spans="1:16" x14ac:dyDescent="0.2">
      <c r="A267" s="1" t="s">
        <v>250</v>
      </c>
      <c r="B267" s="3">
        <v>0</v>
      </c>
      <c r="C267" s="3">
        <v>928987.221427729</v>
      </c>
      <c r="D267" s="3">
        <v>949123.40794846998</v>
      </c>
      <c r="E267" s="3">
        <v>1167388.1994594501</v>
      </c>
      <c r="F267" s="3">
        <v>910757.31779899599</v>
      </c>
      <c r="G267" s="3">
        <v>967238.97791736806</v>
      </c>
      <c r="H267" s="3">
        <v>712480.374286982</v>
      </c>
      <c r="I267" s="3">
        <v>178876.467349463</v>
      </c>
      <c r="J267" s="3">
        <v>164985.76190742099</v>
      </c>
      <c r="K267" s="3">
        <v>372107.58451087697</v>
      </c>
      <c r="L267" s="3">
        <v>431055.95080178801</v>
      </c>
      <c r="M267" s="3">
        <v>405499.74179305602</v>
      </c>
      <c r="N267" s="3">
        <v>371562.61563636502</v>
      </c>
      <c r="O267" s="3">
        <v>651823.94465952297</v>
      </c>
      <c r="P267" s="3">
        <v>595473.34410662903</v>
      </c>
    </row>
    <row r="268" spans="1:16" x14ac:dyDescent="0.2">
      <c r="A268" s="1" t="s">
        <v>251</v>
      </c>
      <c r="B268" s="3">
        <v>0</v>
      </c>
      <c r="C268" s="3">
        <v>1578318.3419943801</v>
      </c>
      <c r="D268" s="3">
        <v>1769926.2883570001</v>
      </c>
      <c r="E268" s="3">
        <v>2141474.3063041498</v>
      </c>
      <c r="F268" s="3">
        <v>1843440.61272289</v>
      </c>
      <c r="G268" s="3">
        <v>1943345.58984061</v>
      </c>
      <c r="H268" s="3">
        <v>1140808.32312367</v>
      </c>
      <c r="I268" s="3">
        <v>305830.62001498399</v>
      </c>
      <c r="J268" s="3">
        <v>371935.60773907398</v>
      </c>
      <c r="K268" s="3">
        <v>548234.704428836</v>
      </c>
      <c r="L268" s="3">
        <v>561017.38879525498</v>
      </c>
      <c r="M268" s="3">
        <v>471003.93924436101</v>
      </c>
      <c r="N268" s="3">
        <v>540604.93009672896</v>
      </c>
      <c r="O268" s="3">
        <v>1119482.1176783701</v>
      </c>
      <c r="P268" s="3">
        <v>988038.85530428204</v>
      </c>
    </row>
    <row r="269" spans="1:16" x14ac:dyDescent="0.2">
      <c r="A269" s="1" t="s">
        <v>252</v>
      </c>
      <c r="B269" s="3">
        <v>0</v>
      </c>
      <c r="C269" s="3">
        <v>47750964.004552603</v>
      </c>
      <c r="D269" s="3">
        <v>50259185.880663998</v>
      </c>
      <c r="E269" s="3">
        <v>57667844.442426898</v>
      </c>
      <c r="F269" s="3">
        <v>56857798.865392901</v>
      </c>
      <c r="G269" s="3">
        <v>56752575.076363802</v>
      </c>
      <c r="H269" s="3">
        <v>41743364.812088698</v>
      </c>
      <c r="I269" s="3">
        <v>423484.13289562298</v>
      </c>
      <c r="J269" s="3">
        <v>399693.65880601702</v>
      </c>
      <c r="K269" s="3">
        <v>485438.30700189498</v>
      </c>
      <c r="L269" s="3">
        <v>501450.56472154299</v>
      </c>
      <c r="M269" s="3">
        <v>523905.804967893</v>
      </c>
      <c r="N269" s="3">
        <v>477158.30046078103</v>
      </c>
      <c r="O269" s="3">
        <v>26028499.7397766</v>
      </c>
      <c r="P269" s="3">
        <v>24145789.434085399</v>
      </c>
    </row>
    <row r="271" spans="1:16" x14ac:dyDescent="0.2">
      <c r="A271" s="1" t="s">
        <v>253</v>
      </c>
      <c r="B271" s="3">
        <v>3578921.2394956299</v>
      </c>
      <c r="C271" s="3">
        <v>2817251.7082223198</v>
      </c>
      <c r="D271" s="3">
        <v>4156711.6075806301</v>
      </c>
      <c r="E271" s="3">
        <v>3633123.0567107</v>
      </c>
      <c r="F271" s="3">
        <v>3420209.2962028901</v>
      </c>
      <c r="G271" s="3">
        <v>2458237.83577239</v>
      </c>
      <c r="H271" s="3">
        <v>2294981.20138796</v>
      </c>
      <c r="I271" s="3">
        <v>2641121.9332018802</v>
      </c>
      <c r="J271" s="3">
        <v>2736276.1416250402</v>
      </c>
      <c r="K271" s="3">
        <v>2658718.5004808102</v>
      </c>
      <c r="L271" s="3">
        <v>2096005.67816346</v>
      </c>
      <c r="M271" s="3">
        <v>2110434.13166617</v>
      </c>
      <c r="N271" s="3">
        <v>2337129.3438860402</v>
      </c>
      <c r="O271" s="3">
        <v>2819971.4152647802</v>
      </c>
      <c r="P271" s="3">
        <v>2861393.1179494499</v>
      </c>
    </row>
    <row r="272" spans="1:16" x14ac:dyDescent="0.2">
      <c r="A272" s="1" t="s">
        <v>254</v>
      </c>
      <c r="B272" s="3">
        <v>0</v>
      </c>
      <c r="C272" s="3">
        <v>24731.9517926876</v>
      </c>
      <c r="D272" s="3">
        <v>22705.144994246999</v>
      </c>
      <c r="E272" s="3">
        <v>8099.4161366033404</v>
      </c>
      <c r="F272" s="3">
        <v>30778.0518264649</v>
      </c>
      <c r="G272" s="3">
        <v>26600.989451737201</v>
      </c>
      <c r="H272" s="3">
        <v>49121.874816476302</v>
      </c>
      <c r="I272" s="3">
        <v>57282.107030926803</v>
      </c>
      <c r="J272" s="3">
        <v>71492.784329952294</v>
      </c>
      <c r="K272" s="3">
        <v>50890.517448074803</v>
      </c>
      <c r="L272" s="3">
        <v>69939.504449484404</v>
      </c>
      <c r="M272" s="3">
        <v>70956.568269174604</v>
      </c>
      <c r="N272" s="3">
        <v>69657.121092834102</v>
      </c>
      <c r="O272" s="3">
        <v>32774.692035761698</v>
      </c>
      <c r="P272" s="3">
        <v>33712.221670872903</v>
      </c>
    </row>
    <row r="273" spans="1:16" x14ac:dyDescent="0.2">
      <c r="A273" s="1" t="s">
        <v>255</v>
      </c>
      <c r="B273" s="3">
        <v>0</v>
      </c>
      <c r="C273" s="3">
        <v>103199.477198355</v>
      </c>
      <c r="D273" s="3">
        <v>136378.653962821</v>
      </c>
      <c r="E273" s="3">
        <v>117350.59111638799</v>
      </c>
      <c r="F273" s="3">
        <v>209531.591821946</v>
      </c>
      <c r="G273" s="3">
        <v>140623.898773277</v>
      </c>
      <c r="H273" s="3">
        <v>158695.284770392</v>
      </c>
      <c r="I273" s="3">
        <v>262458.32028756902</v>
      </c>
      <c r="J273" s="3">
        <v>262813.83596139902</v>
      </c>
      <c r="K273" s="3">
        <v>259303.09928991599</v>
      </c>
      <c r="L273" s="3">
        <v>285485.67611096997</v>
      </c>
      <c r="M273" s="3">
        <v>285842.40635976498</v>
      </c>
      <c r="N273" s="3">
        <v>301820.96492711199</v>
      </c>
      <c r="O273" s="3">
        <v>202531.221614093</v>
      </c>
      <c r="P273" s="3">
        <v>205914.570113466</v>
      </c>
    </row>
    <row r="274" spans="1:16" x14ac:dyDescent="0.2">
      <c r="A274" s="1" t="s">
        <v>256</v>
      </c>
      <c r="B274" s="3">
        <v>0</v>
      </c>
      <c r="C274" s="3">
        <v>43734.706572294403</v>
      </c>
      <c r="D274" s="3">
        <v>75339.170788459305</v>
      </c>
      <c r="E274" s="3">
        <v>63949.136562284002</v>
      </c>
      <c r="F274" s="3">
        <v>58235.470230317696</v>
      </c>
      <c r="G274" s="3">
        <v>48541.631180757497</v>
      </c>
      <c r="H274" s="3">
        <v>40414.955374875397</v>
      </c>
      <c r="I274" s="3">
        <v>339588.25597419898</v>
      </c>
      <c r="J274" s="3">
        <v>342033.314576164</v>
      </c>
      <c r="K274" s="3">
        <v>351521.46722179098</v>
      </c>
      <c r="L274" s="3">
        <v>153615.98772113401</v>
      </c>
      <c r="M274" s="3">
        <v>146488.458024689</v>
      </c>
      <c r="N274" s="3">
        <v>157135.37919084099</v>
      </c>
      <c r="O274" s="3">
        <v>173957.004352836</v>
      </c>
      <c r="P274" s="3">
        <v>156530.35978625299</v>
      </c>
    </row>
    <row r="275" spans="1:16" x14ac:dyDescent="0.2">
      <c r="A275" s="1" t="s">
        <v>257</v>
      </c>
      <c r="B275" s="3">
        <v>0</v>
      </c>
      <c r="C275" s="3"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1264051.2864381699</v>
      </c>
      <c r="J275" s="3">
        <v>1182773.3477761601</v>
      </c>
      <c r="K275" s="3">
        <v>1223645.4028961901</v>
      </c>
      <c r="L275" s="3">
        <v>1029513.1950789</v>
      </c>
      <c r="M275" s="3">
        <v>966039.55474120402</v>
      </c>
      <c r="N275" s="3">
        <v>1140935.50520279</v>
      </c>
      <c r="O275" s="3">
        <v>557232.48138494801</v>
      </c>
      <c r="P275" s="3">
        <v>533952.76509001199</v>
      </c>
    </row>
    <row r="277" spans="1:16" x14ac:dyDescent="0.2">
      <c r="A277" s="1" t="s">
        <v>258</v>
      </c>
      <c r="B277" s="3">
        <v>346413.03428527497</v>
      </c>
      <c r="C277" s="3">
        <v>199163.842099806</v>
      </c>
      <c r="D277" s="3">
        <v>371947.76586825697</v>
      </c>
      <c r="E277" s="3">
        <v>290633.231838073</v>
      </c>
      <c r="F277" s="3">
        <v>342410.38122170401</v>
      </c>
      <c r="G277" s="3">
        <v>258632.190893647</v>
      </c>
      <c r="H277" s="3">
        <v>228014.98556558901</v>
      </c>
      <c r="I277" s="3">
        <v>428063.12006929202</v>
      </c>
      <c r="J277" s="3">
        <v>398542.13456860301</v>
      </c>
      <c r="K277" s="3">
        <v>431895.47431042901</v>
      </c>
      <c r="L277" s="3">
        <v>388349.43467775802</v>
      </c>
      <c r="M277" s="3">
        <v>407217.28273065097</v>
      </c>
      <c r="N277" s="3">
        <v>487279.17431137798</v>
      </c>
      <c r="O277" s="3">
        <v>367812.65816501499</v>
      </c>
      <c r="P277" s="3">
        <v>343433.43562906497</v>
      </c>
    </row>
    <row r="278" spans="1:16" x14ac:dyDescent="0.2">
      <c r="A278" s="1" t="s">
        <v>259</v>
      </c>
      <c r="B278" s="3">
        <v>0</v>
      </c>
      <c r="C278" s="3">
        <v>18020.375515879201</v>
      </c>
      <c r="D278" s="3">
        <v>9374.5540725276805</v>
      </c>
      <c r="E278" s="3">
        <v>6726.9977529350999</v>
      </c>
      <c r="F278" s="3">
        <v>4905.69347560797</v>
      </c>
      <c r="G278" s="3">
        <v>1326.38310104314</v>
      </c>
      <c r="H278" s="3">
        <v>9728.8954631018096</v>
      </c>
      <c r="I278" s="3">
        <v>21210.384043833401</v>
      </c>
      <c r="J278" s="3">
        <v>21370.061265638298</v>
      </c>
      <c r="K278" s="3">
        <v>16354.010368675001</v>
      </c>
      <c r="L278" s="3">
        <v>11994.6720981443</v>
      </c>
      <c r="M278" s="3">
        <v>9240.6083720561692</v>
      </c>
      <c r="N278" s="3">
        <v>10998.5463497649</v>
      </c>
      <c r="O278" s="3">
        <v>10005.3888467868</v>
      </c>
      <c r="P278" s="3">
        <v>9753.3238830753508</v>
      </c>
    </row>
    <row r="279" spans="1:16" x14ac:dyDescent="0.2">
      <c r="A279" s="1" t="s">
        <v>260</v>
      </c>
      <c r="B279" s="3">
        <v>0</v>
      </c>
      <c r="C279" s="3">
        <v>8763.4163918385202</v>
      </c>
      <c r="D279" s="3">
        <v>16948.059024232</v>
      </c>
      <c r="E279" s="3">
        <v>14953.6596392519</v>
      </c>
      <c r="F279" s="3">
        <v>8533.1479050293092</v>
      </c>
      <c r="G279" s="3">
        <v>9346.8804180102798</v>
      </c>
      <c r="H279" s="3">
        <v>10649.0486575876</v>
      </c>
      <c r="I279" s="3">
        <v>1681.40390318453</v>
      </c>
      <c r="J279" s="3">
        <v>0</v>
      </c>
      <c r="K279" s="3">
        <v>1720.8518782615199</v>
      </c>
      <c r="L279" s="3">
        <v>702.96254714348095</v>
      </c>
      <c r="M279" s="3">
        <v>0</v>
      </c>
      <c r="N279" s="3">
        <v>0</v>
      </c>
      <c r="O279" s="3">
        <v>7266.6955027296599</v>
      </c>
      <c r="P279" s="3">
        <v>2938.2708394737601</v>
      </c>
    </row>
    <row r="280" spans="1:16" x14ac:dyDescent="0.2">
      <c r="A280" s="1" t="s">
        <v>261</v>
      </c>
      <c r="B280" s="3">
        <v>0</v>
      </c>
      <c r="C280" s="3">
        <v>8335.8466356056797</v>
      </c>
      <c r="D280" s="3">
        <v>32173.323830850899</v>
      </c>
      <c r="E280" s="3">
        <v>9619.0709985807298</v>
      </c>
      <c r="F280" s="3">
        <v>26644.640177942601</v>
      </c>
      <c r="G280" s="3">
        <v>11412.930547141699</v>
      </c>
      <c r="H280" s="3">
        <v>11879.9131263627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8206.9117431788</v>
      </c>
      <c r="P280" s="3">
        <v>8701.2250371929495</v>
      </c>
    </row>
    <row r="281" spans="1:16" x14ac:dyDescent="0.2">
      <c r="A281" s="1" t="s">
        <v>262</v>
      </c>
      <c r="B281" s="3">
        <v>0</v>
      </c>
      <c r="C281" s="3">
        <v>6795.6302954781404</v>
      </c>
      <c r="D281" s="3">
        <v>1815.9455884382401</v>
      </c>
      <c r="E281" s="3">
        <v>7319.8342424108196</v>
      </c>
      <c r="F281" s="3">
        <v>3740.07213700487</v>
      </c>
      <c r="G281" s="3">
        <v>4475.0122855258996</v>
      </c>
      <c r="H281" s="3">
        <v>3315.2785210828301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</row>
    <row r="282" spans="1:16" x14ac:dyDescent="0.2">
      <c r="A282" s="1" t="s">
        <v>263</v>
      </c>
      <c r="B282" s="3">
        <v>0</v>
      </c>
      <c r="C282" s="3">
        <v>19423.5319761789</v>
      </c>
      <c r="D282" s="3">
        <v>31375.584439140901</v>
      </c>
      <c r="E282" s="3">
        <v>25342.566398444498</v>
      </c>
      <c r="F282" s="3">
        <v>22638.780658059</v>
      </c>
      <c r="G282" s="3">
        <v>19592.834838849201</v>
      </c>
      <c r="H282" s="3">
        <v>17389.984893461798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10030.679336192199</v>
      </c>
      <c r="P282" s="3">
        <v>8320.6460607346598</v>
      </c>
    </row>
    <row r="283" spans="1:16" x14ac:dyDescent="0.2">
      <c r="A283" s="1" t="s">
        <v>264</v>
      </c>
      <c r="B283" s="3">
        <v>0</v>
      </c>
      <c r="C283" s="3">
        <v>0</v>
      </c>
      <c r="D283" s="3">
        <v>0</v>
      </c>
      <c r="E283" s="3">
        <v>1949.6232583836199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</row>
    <row r="284" spans="1:16" x14ac:dyDescent="0.2">
      <c r="A284" s="1" t="s">
        <v>265</v>
      </c>
      <c r="B284" s="3">
        <v>0</v>
      </c>
      <c r="C284" s="3">
        <v>0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</row>
    <row r="285" spans="1:16" x14ac:dyDescent="0.2">
      <c r="A285" s="1" t="s">
        <v>266</v>
      </c>
      <c r="B285" s="3">
        <v>0</v>
      </c>
      <c r="C285" s="3"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</row>
    <row r="286" spans="1:16" x14ac:dyDescent="0.2">
      <c r="A286" s="1" t="s">
        <v>267</v>
      </c>
      <c r="B286" s="3">
        <v>0</v>
      </c>
      <c r="C286" s="3">
        <v>0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</row>
    <row r="287" spans="1:16" x14ac:dyDescent="0.2">
      <c r="A287" s="1" t="s">
        <v>268</v>
      </c>
      <c r="B287" s="3">
        <v>0</v>
      </c>
      <c r="C287" s="3"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</row>
    <row r="289" spans="1:16" x14ac:dyDescent="0.2">
      <c r="A289" s="1" t="s">
        <v>269</v>
      </c>
      <c r="B289" s="3">
        <v>1013787.6284749201</v>
      </c>
      <c r="C289" s="3">
        <v>662734.89738289895</v>
      </c>
      <c r="D289" s="3">
        <v>1055853.96056156</v>
      </c>
      <c r="E289" s="3">
        <v>1105317.5689056099</v>
      </c>
      <c r="F289" s="3">
        <v>1324691.4660736399</v>
      </c>
      <c r="G289" s="3">
        <v>697310.60422797001</v>
      </c>
      <c r="H289" s="3">
        <v>406929.66694165103</v>
      </c>
      <c r="I289" s="3">
        <v>1818055.98497331</v>
      </c>
      <c r="J289" s="3">
        <v>2072670.3851302799</v>
      </c>
      <c r="K289" s="3">
        <v>1959460.7738674099</v>
      </c>
      <c r="L289" s="3">
        <v>1003429.67565268</v>
      </c>
      <c r="M289" s="3">
        <v>778502.77540055395</v>
      </c>
      <c r="N289" s="3">
        <v>939838.83388318506</v>
      </c>
      <c r="O289" s="3">
        <v>1078923.7743739099</v>
      </c>
      <c r="P289" s="3">
        <v>1180449.6249450699</v>
      </c>
    </row>
    <row r="290" spans="1:16" x14ac:dyDescent="0.2">
      <c r="A290" s="1" t="s">
        <v>270</v>
      </c>
      <c r="B290" s="3">
        <v>0</v>
      </c>
      <c r="C290" s="3">
        <v>0</v>
      </c>
      <c r="D290" s="3">
        <v>10652.1862973355</v>
      </c>
      <c r="E290" s="3">
        <v>0</v>
      </c>
      <c r="F290" s="3">
        <v>0</v>
      </c>
      <c r="G290" s="3">
        <v>8153.8205765041303</v>
      </c>
      <c r="H290" s="3">
        <v>0</v>
      </c>
      <c r="I290" s="3">
        <v>77139.993949976197</v>
      </c>
      <c r="J290" s="3">
        <v>35635.717358373302</v>
      </c>
      <c r="K290" s="3">
        <v>3924.8567770647901</v>
      </c>
      <c r="L290" s="3">
        <v>11727.204552048201</v>
      </c>
      <c r="M290" s="3">
        <v>0</v>
      </c>
      <c r="N290" s="3">
        <v>11399.369227081301</v>
      </c>
      <c r="O290" s="3">
        <v>16812.1760131868</v>
      </c>
      <c r="P290" s="3">
        <v>0</v>
      </c>
    </row>
    <row r="291" spans="1:16" x14ac:dyDescent="0.2">
      <c r="A291" s="1" t="s">
        <v>271</v>
      </c>
      <c r="B291" s="3">
        <v>0</v>
      </c>
      <c r="C291" s="3">
        <v>51601.236789186798</v>
      </c>
      <c r="D291" s="3">
        <v>65389.605661772301</v>
      </c>
      <c r="E291" s="3">
        <v>69002.890168268597</v>
      </c>
      <c r="F291" s="3">
        <v>90709.103434321907</v>
      </c>
      <c r="G291" s="3">
        <v>36170.4946920437</v>
      </c>
      <c r="H291" s="3">
        <v>8319.6914415950905</v>
      </c>
      <c r="I291" s="3">
        <v>33783.512658684602</v>
      </c>
      <c r="J291" s="3">
        <v>52503.558647418497</v>
      </c>
      <c r="K291" s="3">
        <v>63901.413188837098</v>
      </c>
      <c r="L291" s="3">
        <v>21677.104865402001</v>
      </c>
      <c r="M291" s="3">
        <v>19003.327787496099</v>
      </c>
      <c r="N291" s="3">
        <v>7296.3438957175103</v>
      </c>
      <c r="O291" s="3">
        <v>51984.289946885998</v>
      </c>
      <c r="P291" s="3">
        <v>48073.953476896801</v>
      </c>
    </row>
    <row r="292" spans="1:16" x14ac:dyDescent="0.2">
      <c r="A292" s="1" t="s">
        <v>272</v>
      </c>
      <c r="B292" s="3">
        <v>0</v>
      </c>
      <c r="C292" s="3">
        <v>30181.011153780899</v>
      </c>
      <c r="D292" s="3">
        <v>58104.7063654835</v>
      </c>
      <c r="E292" s="3">
        <v>66783.758515298599</v>
      </c>
      <c r="F292" s="3">
        <v>68082.040161060402</v>
      </c>
      <c r="G292" s="3">
        <v>32460.587933804101</v>
      </c>
      <c r="H292" s="3">
        <v>20324.3134628917</v>
      </c>
      <c r="I292" s="3">
        <v>9973.0670552701595</v>
      </c>
      <c r="J292" s="3">
        <v>21474.100122912401</v>
      </c>
      <c r="K292" s="3">
        <v>66.758441458774499</v>
      </c>
      <c r="L292" s="3">
        <v>3237.9953412771001</v>
      </c>
      <c r="M292" s="3">
        <v>0</v>
      </c>
      <c r="N292" s="3">
        <v>3097.85510172371</v>
      </c>
      <c r="O292" s="3">
        <v>20342.348657607999</v>
      </c>
      <c r="P292" s="3">
        <v>21682.3175945806</v>
      </c>
    </row>
    <row r="293" spans="1:16" x14ac:dyDescent="0.2">
      <c r="A293" s="1" t="s">
        <v>273</v>
      </c>
      <c r="B293" s="3">
        <v>0</v>
      </c>
      <c r="C293" s="3">
        <v>12836.8465945464</v>
      </c>
      <c r="D293" s="3">
        <v>17842.312905111601</v>
      </c>
      <c r="E293" s="3">
        <v>21203.670156814798</v>
      </c>
      <c r="F293" s="3">
        <v>24896.554121646601</v>
      </c>
      <c r="G293" s="3">
        <v>7616.5740696379899</v>
      </c>
      <c r="H293" s="3">
        <v>3874.71887632993</v>
      </c>
      <c r="I293" s="3">
        <v>2334.3396883711798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9315.8571882079395</v>
      </c>
      <c r="P293" s="3">
        <v>11349.6922001576</v>
      </c>
    </row>
    <row r="294" spans="1:16" x14ac:dyDescent="0.2">
      <c r="A294" s="1" t="s">
        <v>274</v>
      </c>
      <c r="B294" s="3">
        <v>0</v>
      </c>
      <c r="C294" s="3">
        <v>55108.640183963304</v>
      </c>
      <c r="D294" s="3">
        <v>81109.693359205194</v>
      </c>
      <c r="E294" s="3">
        <v>66922.268085300806</v>
      </c>
      <c r="F294" s="3">
        <v>96471.428232688893</v>
      </c>
      <c r="G294" s="3">
        <v>43668.563202196601</v>
      </c>
      <c r="H294" s="3">
        <v>32356.1669993457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27665.628615463502</v>
      </c>
      <c r="P294" s="3">
        <v>37359.556415721403</v>
      </c>
    </row>
    <row r="295" spans="1:16" x14ac:dyDescent="0.2">
      <c r="A295" s="1" t="s">
        <v>275</v>
      </c>
      <c r="B295" s="3">
        <v>0</v>
      </c>
      <c r="C295" s="3">
        <v>7385.9093623541803</v>
      </c>
      <c r="D295" s="3">
        <v>1715.68969574006</v>
      </c>
      <c r="E295" s="3">
        <v>3632.05208681558</v>
      </c>
      <c r="F295" s="3">
        <v>11223.6070347272</v>
      </c>
      <c r="G295" s="3">
        <v>7831.4266887613403</v>
      </c>
      <c r="H295" s="3">
        <v>638.52905484579298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1232.8678193292101</v>
      </c>
      <c r="P295" s="3">
        <v>861.43458289135003</v>
      </c>
    </row>
    <row r="296" spans="1:16" x14ac:dyDescent="0.2">
      <c r="A296" s="1" t="s">
        <v>276</v>
      </c>
      <c r="B296" s="3">
        <v>0</v>
      </c>
      <c r="C296" s="3">
        <v>0</v>
      </c>
      <c r="D296" s="3">
        <v>6849.3683211724401</v>
      </c>
      <c r="E296" s="3">
        <v>6053.8552868263396</v>
      </c>
      <c r="F296" s="3">
        <v>7397.1527865897797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</row>
    <row r="297" spans="1:16" x14ac:dyDescent="0.2">
      <c r="A297" s="1" t="s">
        <v>277</v>
      </c>
      <c r="B297" s="3">
        <v>0</v>
      </c>
      <c r="C297" s="3">
        <v>0</v>
      </c>
      <c r="D297" s="3">
        <v>0</v>
      </c>
      <c r="E297" s="3">
        <v>0</v>
      </c>
      <c r="F297" s="3">
        <v>4762.8053602849704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</row>
    <row r="298" spans="1:16" x14ac:dyDescent="0.2">
      <c r="A298" s="1" t="s">
        <v>278</v>
      </c>
      <c r="B298" s="3">
        <v>0</v>
      </c>
      <c r="C298" s="3">
        <v>0</v>
      </c>
      <c r="D298" s="3">
        <v>0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</row>
    <row r="299" spans="1:16" x14ac:dyDescent="0.2">
      <c r="A299" s="1" t="s">
        <v>279</v>
      </c>
      <c r="B299" s="3">
        <v>0</v>
      </c>
      <c r="C299" s="3"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</row>
    <row r="301" spans="1:16" x14ac:dyDescent="0.2">
      <c r="A301" s="1" t="s">
        <v>280</v>
      </c>
      <c r="B301" s="3">
        <v>11220.800189241199</v>
      </c>
      <c r="C301" s="3">
        <v>6712.2965494044302</v>
      </c>
      <c r="D301" s="3">
        <v>17085.387044753501</v>
      </c>
      <c r="E301" s="3">
        <v>16170.819294646701</v>
      </c>
      <c r="F301" s="3">
        <v>7062.9859763419199</v>
      </c>
      <c r="G301" s="3">
        <v>8882.0296944853508</v>
      </c>
      <c r="H301" s="3">
        <v>3886.5975697641502</v>
      </c>
      <c r="I301" s="3">
        <v>6912.8707180485299</v>
      </c>
      <c r="J301" s="3">
        <v>10362.998713278999</v>
      </c>
      <c r="K301" s="3">
        <v>12552.9154225002</v>
      </c>
      <c r="L301" s="3">
        <v>19062.114857742999</v>
      </c>
      <c r="M301" s="3">
        <v>16638.8256881497</v>
      </c>
      <c r="N301" s="3">
        <v>22230.934427768101</v>
      </c>
      <c r="O301" s="3">
        <v>18525.9889352666</v>
      </c>
      <c r="P301" s="3">
        <v>8817.6945837881794</v>
      </c>
    </row>
    <row r="302" spans="1:16" x14ac:dyDescent="0.2">
      <c r="A302" s="1" t="s">
        <v>281</v>
      </c>
      <c r="B302" s="3">
        <v>0</v>
      </c>
      <c r="C302" s="3">
        <v>0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</row>
    <row r="303" spans="1:16" x14ac:dyDescent="0.2">
      <c r="A303" s="1" t="s">
        <v>282</v>
      </c>
      <c r="B303" s="3">
        <v>0</v>
      </c>
      <c r="C303" s="3"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</row>
    <row r="304" spans="1:16" x14ac:dyDescent="0.2">
      <c r="A304" s="1" t="s">
        <v>283</v>
      </c>
      <c r="B304" s="3">
        <v>0</v>
      </c>
      <c r="C304" s="3">
        <v>0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</row>
    <row r="305" spans="1:16" x14ac:dyDescent="0.2">
      <c r="A305" s="1" t="s">
        <v>284</v>
      </c>
      <c r="B305" s="3">
        <v>0</v>
      </c>
      <c r="C305" s="3"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</row>
    <row r="306" spans="1:16" x14ac:dyDescent="0.2">
      <c r="A306" s="1" t="s">
        <v>285</v>
      </c>
      <c r="B306" s="3">
        <v>0</v>
      </c>
      <c r="C306" s="3">
        <v>0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</row>
    <row r="307" spans="1:16" x14ac:dyDescent="0.2">
      <c r="A307" s="1" t="s">
        <v>286</v>
      </c>
      <c r="B307" s="3">
        <v>0</v>
      </c>
      <c r="C307" s="3"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</row>
    <row r="308" spans="1:16" x14ac:dyDescent="0.2">
      <c r="A308" s="1" t="s">
        <v>287</v>
      </c>
      <c r="B308" s="3">
        <v>0</v>
      </c>
      <c r="C308" s="3">
        <v>0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</row>
    <row r="309" spans="1:16" x14ac:dyDescent="0.2">
      <c r="A309" s="1" t="s">
        <v>288</v>
      </c>
      <c r="B309" s="3">
        <v>0</v>
      </c>
      <c r="C309" s="3"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</row>
    <row r="310" spans="1:16" x14ac:dyDescent="0.2">
      <c r="A310" s="1" t="s">
        <v>289</v>
      </c>
      <c r="B310" s="3">
        <v>0</v>
      </c>
      <c r="C310" s="3">
        <v>0</v>
      </c>
      <c r="D310" s="3">
        <v>0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</row>
    <row r="311" spans="1:16" x14ac:dyDescent="0.2">
      <c r="A311" s="1" t="s">
        <v>290</v>
      </c>
      <c r="B311" s="3">
        <v>0</v>
      </c>
      <c r="C311" s="3"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</row>
    <row r="313" spans="1:16" x14ac:dyDescent="0.2">
      <c r="A313" s="1" t="s">
        <v>291</v>
      </c>
      <c r="B313" s="3">
        <v>1184570.85644797</v>
      </c>
      <c r="C313" s="3">
        <v>1056955.22627996</v>
      </c>
      <c r="D313" s="3">
        <v>1615450.84518759</v>
      </c>
      <c r="E313" s="3">
        <v>1295928.6257009699</v>
      </c>
      <c r="F313" s="3">
        <v>1596286.55103638</v>
      </c>
      <c r="G313" s="3">
        <v>1096065.9276928001</v>
      </c>
      <c r="H313" s="3">
        <v>1034805.02610876</v>
      </c>
      <c r="I313" s="3">
        <v>2069665.5570189001</v>
      </c>
      <c r="J313" s="3">
        <v>2153568.63315007</v>
      </c>
      <c r="K313" s="3">
        <v>2244004.8766989098</v>
      </c>
      <c r="L313" s="3">
        <v>2089275.15105395</v>
      </c>
      <c r="M313" s="3">
        <v>1986384.38695779</v>
      </c>
      <c r="N313" s="3">
        <v>2370456.16751057</v>
      </c>
      <c r="O313" s="3">
        <v>1710757.63505803</v>
      </c>
      <c r="P313" s="3">
        <v>1612845.90394073</v>
      </c>
    </row>
    <row r="314" spans="1:16" x14ac:dyDescent="0.2">
      <c r="A314" s="1" t="s">
        <v>292</v>
      </c>
      <c r="B314" s="3">
        <v>0</v>
      </c>
      <c r="C314" s="3">
        <v>0</v>
      </c>
      <c r="D314" s="3">
        <v>15345.413700602399</v>
      </c>
      <c r="E314" s="3">
        <v>0</v>
      </c>
      <c r="F314" s="3">
        <v>3271.65356784716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16814.118681235101</v>
      </c>
      <c r="O314" s="3">
        <v>23879.442166599201</v>
      </c>
      <c r="P314" s="3">
        <v>656.61170861171604</v>
      </c>
    </row>
    <row r="315" spans="1:16" x14ac:dyDescent="0.2">
      <c r="A315" s="1" t="s">
        <v>293</v>
      </c>
      <c r="B315" s="3">
        <v>0</v>
      </c>
      <c r="C315" s="3">
        <v>34997.712038662998</v>
      </c>
      <c r="D315" s="3">
        <v>58309.7501439435</v>
      </c>
      <c r="E315" s="3">
        <v>67105.464955053103</v>
      </c>
      <c r="F315" s="3">
        <v>69584.165133009607</v>
      </c>
      <c r="G315" s="3">
        <v>34051.724385405199</v>
      </c>
      <c r="H315" s="3">
        <v>38033.772330915097</v>
      </c>
      <c r="I315" s="3">
        <v>53538.937381246098</v>
      </c>
      <c r="J315" s="3">
        <v>53234.903666838101</v>
      </c>
      <c r="K315" s="3">
        <v>51693.228057774199</v>
      </c>
      <c r="L315" s="3">
        <v>54745.864486825703</v>
      </c>
      <c r="M315" s="3">
        <v>36588.6239361568</v>
      </c>
      <c r="N315" s="3">
        <v>48078.206994002001</v>
      </c>
      <c r="O315" s="3">
        <v>41691.530355967901</v>
      </c>
      <c r="P315" s="3">
        <v>51587.195536483101</v>
      </c>
    </row>
    <row r="316" spans="1:16" x14ac:dyDescent="0.2">
      <c r="A316" s="1" t="s">
        <v>294</v>
      </c>
      <c r="B316" s="3">
        <v>0</v>
      </c>
      <c r="C316" s="3">
        <v>26221.293837867299</v>
      </c>
      <c r="D316" s="3">
        <v>48008.115774288897</v>
      </c>
      <c r="E316" s="3">
        <v>30024.719858547702</v>
      </c>
      <c r="F316" s="3">
        <v>37312.797709794802</v>
      </c>
      <c r="G316" s="3">
        <v>23291.9634167814</v>
      </c>
      <c r="H316" s="3">
        <v>24668.057259413399</v>
      </c>
      <c r="I316" s="3">
        <v>1894.4321671990799</v>
      </c>
      <c r="J316" s="3">
        <v>4334.2540942784699</v>
      </c>
      <c r="K316" s="3">
        <v>8848.8844738337302</v>
      </c>
      <c r="L316" s="3">
        <v>2377.9114387456102</v>
      </c>
      <c r="M316" s="3">
        <v>0</v>
      </c>
      <c r="N316" s="3">
        <v>4206.2622688232796</v>
      </c>
      <c r="O316" s="3">
        <v>14363.717695257799</v>
      </c>
      <c r="P316" s="3">
        <v>17807.021849110799</v>
      </c>
    </row>
    <row r="317" spans="1:16" x14ac:dyDescent="0.2">
      <c r="A317" s="1" t="s">
        <v>295</v>
      </c>
      <c r="B317" s="3">
        <v>0</v>
      </c>
      <c r="C317" s="3">
        <v>8062.6081053766702</v>
      </c>
      <c r="D317" s="3">
        <v>12682.523029854699</v>
      </c>
      <c r="E317" s="3">
        <v>10632.7101397228</v>
      </c>
      <c r="F317" s="3">
        <v>14858.9813416221</v>
      </c>
      <c r="G317" s="3">
        <v>9491.3135194236402</v>
      </c>
      <c r="H317" s="3">
        <v>7608.5479898764297</v>
      </c>
      <c r="I317" s="3">
        <v>2643.9525451531999</v>
      </c>
      <c r="J317" s="3">
        <v>2881.6298018603402</v>
      </c>
      <c r="K317" s="3">
        <v>2971.8578199512699</v>
      </c>
      <c r="L317" s="3">
        <v>0</v>
      </c>
      <c r="M317" s="3">
        <v>0</v>
      </c>
      <c r="N317" s="3">
        <v>0</v>
      </c>
      <c r="O317" s="3">
        <v>8304.6967317509097</v>
      </c>
      <c r="P317" s="3">
        <v>5673.0270303536399</v>
      </c>
    </row>
    <row r="318" spans="1:16" x14ac:dyDescent="0.2">
      <c r="A318" s="1" t="s">
        <v>296</v>
      </c>
      <c r="B318" s="3">
        <v>0</v>
      </c>
      <c r="C318" s="3">
        <v>40632.105054932603</v>
      </c>
      <c r="D318" s="3">
        <v>55704.051655592099</v>
      </c>
      <c r="E318" s="3">
        <v>43750.213978267202</v>
      </c>
      <c r="F318" s="3">
        <v>52608.928090246802</v>
      </c>
      <c r="G318" s="3">
        <v>38434.208640184399</v>
      </c>
      <c r="H318" s="3">
        <v>33951.789963054202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22264.949004211299</v>
      </c>
      <c r="P318" s="3">
        <v>24581.602828257099</v>
      </c>
    </row>
    <row r="319" spans="1:16" x14ac:dyDescent="0.2">
      <c r="A319" s="1" t="s">
        <v>297</v>
      </c>
      <c r="B319" s="3">
        <v>0</v>
      </c>
      <c r="C319" s="3">
        <v>3201.0219824495498</v>
      </c>
      <c r="D319" s="3">
        <v>4621.6925261850001</v>
      </c>
      <c r="E319" s="3">
        <v>4431.4092390923197</v>
      </c>
      <c r="F319" s="3">
        <v>4358.5899020505803</v>
      </c>
      <c r="G319" s="3">
        <v>2722.66456381029</v>
      </c>
      <c r="H319" s="3">
        <v>4379.5075645801699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3886.9213255393001</v>
      </c>
      <c r="P319" s="3">
        <v>2015.0344883800001</v>
      </c>
    </row>
    <row r="320" spans="1:16" x14ac:dyDescent="0.2">
      <c r="A320" s="1" t="s">
        <v>298</v>
      </c>
      <c r="B320" s="3">
        <v>0</v>
      </c>
      <c r="C320" s="3">
        <v>0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</row>
    <row r="321" spans="1:16" x14ac:dyDescent="0.2">
      <c r="A321" s="1" t="s">
        <v>299</v>
      </c>
      <c r="B321" s="3">
        <v>0</v>
      </c>
      <c r="C321" s="3"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</row>
    <row r="322" spans="1:16" x14ac:dyDescent="0.2">
      <c r="A322" s="1" t="s">
        <v>300</v>
      </c>
      <c r="B322" s="3">
        <v>0</v>
      </c>
      <c r="C322" s="3">
        <v>0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</row>
    <row r="323" spans="1:16" x14ac:dyDescent="0.2">
      <c r="A323" s="1" t="s">
        <v>301</v>
      </c>
      <c r="B323" s="3">
        <v>0</v>
      </c>
      <c r="C323" s="3"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</row>
    <row r="325" spans="1:16" x14ac:dyDescent="0.2">
      <c r="A325" s="1" t="s">
        <v>302</v>
      </c>
      <c r="B325" s="3">
        <v>476780.31369258201</v>
      </c>
      <c r="C325" s="3">
        <v>214398.61289356099</v>
      </c>
      <c r="D325" s="3">
        <v>457063.79957876902</v>
      </c>
      <c r="E325" s="3">
        <v>247762.55632266501</v>
      </c>
      <c r="F325" s="3">
        <v>293255.36569301499</v>
      </c>
      <c r="G325" s="3">
        <v>203969.21474464599</v>
      </c>
      <c r="H325" s="3">
        <v>288419.53215741902</v>
      </c>
      <c r="I325" s="3">
        <v>791136.37073415995</v>
      </c>
      <c r="J325" s="3">
        <v>763939.717359217</v>
      </c>
      <c r="K325" s="3">
        <v>859672.268035669</v>
      </c>
      <c r="L325" s="3">
        <v>623022.41169326298</v>
      </c>
      <c r="M325" s="3">
        <v>650932.34534600901</v>
      </c>
      <c r="N325" s="3">
        <v>778484.43258919299</v>
      </c>
      <c r="O325" s="3">
        <v>479999.37859849201</v>
      </c>
      <c r="P325" s="3">
        <v>494984.46686954697</v>
      </c>
    </row>
    <row r="326" spans="1:16" x14ac:dyDescent="0.2">
      <c r="A326" s="1" t="s">
        <v>303</v>
      </c>
      <c r="B326" s="3">
        <v>0</v>
      </c>
      <c r="C326" s="3">
        <v>0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</row>
    <row r="327" spans="1:16" x14ac:dyDescent="0.2">
      <c r="A327" s="1" t="s">
        <v>304</v>
      </c>
      <c r="B327" s="3">
        <v>0</v>
      </c>
      <c r="C327" s="3">
        <v>7110.5312391698699</v>
      </c>
      <c r="D327" s="3">
        <v>15022.7600913966</v>
      </c>
      <c r="E327" s="3">
        <v>12633.6936418348</v>
      </c>
      <c r="F327" s="3">
        <v>10084.556656131101</v>
      </c>
      <c r="G327" s="3">
        <v>10138.2948676665</v>
      </c>
      <c r="H327" s="3">
        <v>6881.1479969856</v>
      </c>
      <c r="I327" s="3">
        <v>6997.9539989401801</v>
      </c>
      <c r="J327" s="3">
        <v>0</v>
      </c>
      <c r="K327" s="3">
        <v>0</v>
      </c>
      <c r="L327" s="3">
        <v>0</v>
      </c>
      <c r="M327" s="3">
        <v>0</v>
      </c>
      <c r="N327" s="3">
        <v>11336.032112308099</v>
      </c>
      <c r="O327" s="3">
        <v>8274.0351985147809</v>
      </c>
      <c r="P327" s="3">
        <v>5301.1224140203103</v>
      </c>
    </row>
    <row r="328" spans="1:16" x14ac:dyDescent="0.2">
      <c r="A328" s="1" t="s">
        <v>305</v>
      </c>
      <c r="B328" s="3">
        <v>0</v>
      </c>
      <c r="C328" s="3">
        <v>203273.479882346</v>
      </c>
      <c r="D328" s="3">
        <v>401514.48603291402</v>
      </c>
      <c r="E328" s="3">
        <v>268737.53259872802</v>
      </c>
      <c r="F328" s="3">
        <v>266298.96369876497</v>
      </c>
      <c r="G328" s="3">
        <v>182482.478756456</v>
      </c>
      <c r="H328" s="3">
        <v>235724.30737203301</v>
      </c>
      <c r="I328" s="3">
        <v>3023.02250601166</v>
      </c>
      <c r="J328" s="3">
        <v>0</v>
      </c>
      <c r="K328" s="3">
        <v>1972.3941464802899</v>
      </c>
      <c r="L328" s="3">
        <v>5087.5239663377697</v>
      </c>
      <c r="M328" s="3">
        <v>3920.1003797608601</v>
      </c>
      <c r="N328" s="3">
        <v>4257.7965630019198</v>
      </c>
      <c r="O328" s="3">
        <v>129713.626049333</v>
      </c>
      <c r="P328" s="3">
        <v>130578.56259910599</v>
      </c>
    </row>
    <row r="330" spans="1:16" x14ac:dyDescent="0.2">
      <c r="A330" s="1" t="s">
        <v>306</v>
      </c>
      <c r="B330" s="3">
        <v>160042.52076686299</v>
      </c>
      <c r="C330" s="3">
        <v>362154.10557062301</v>
      </c>
      <c r="D330" s="3">
        <v>265280.306449686</v>
      </c>
      <c r="E330" s="3">
        <v>305525.85395028698</v>
      </c>
      <c r="F330" s="3">
        <v>516289.83864565298</v>
      </c>
      <c r="G330" s="3">
        <v>254500.47059906801</v>
      </c>
      <c r="H330" s="3">
        <v>163628.56320700501</v>
      </c>
      <c r="I330" s="3">
        <v>424403.83277167002</v>
      </c>
      <c r="J330" s="3">
        <v>390179.81805107102</v>
      </c>
      <c r="K330" s="3">
        <v>617258.28005699103</v>
      </c>
      <c r="L330" s="3">
        <v>450137.74470735202</v>
      </c>
      <c r="M330" s="3">
        <v>603757.64175539196</v>
      </c>
      <c r="N330" s="3">
        <v>407223.08173242299</v>
      </c>
      <c r="O330" s="3">
        <v>427252.81892474898</v>
      </c>
      <c r="P330" s="3">
        <v>354966.51459734398</v>
      </c>
    </row>
    <row r="331" spans="1:16" x14ac:dyDescent="0.2">
      <c r="A331" s="1" t="s">
        <v>307</v>
      </c>
      <c r="B331" s="3">
        <v>0</v>
      </c>
      <c r="C331" s="3"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</row>
    <row r="332" spans="1:16" x14ac:dyDescent="0.2">
      <c r="A332" s="1" t="s">
        <v>308</v>
      </c>
      <c r="B332" s="3">
        <v>0</v>
      </c>
      <c r="C332" s="3">
        <v>0</v>
      </c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</row>
    <row r="333" spans="1:16" x14ac:dyDescent="0.2">
      <c r="A333" s="1" t="s">
        <v>309</v>
      </c>
      <c r="B333" s="3">
        <v>0</v>
      </c>
      <c r="C333" s="3">
        <v>184798</v>
      </c>
      <c r="D333" s="3">
        <v>122606</v>
      </c>
      <c r="E333" s="3">
        <v>153376</v>
      </c>
      <c r="F333" s="3">
        <v>221234</v>
      </c>
      <c r="G333" s="3">
        <v>108213</v>
      </c>
      <c r="H333" s="3">
        <v>89917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61405</v>
      </c>
      <c r="P333" s="3">
        <v>54626</v>
      </c>
    </row>
    <row r="335" spans="1:16" x14ac:dyDescent="0.2">
      <c r="A335" s="1" t="s">
        <v>310</v>
      </c>
      <c r="B335" s="3">
        <v>30125.502879616499</v>
      </c>
      <c r="C335" s="3">
        <v>3184.2422074613501</v>
      </c>
      <c r="D335" s="3">
        <v>5716.9411332466998</v>
      </c>
      <c r="E335" s="3">
        <v>7022.1887025080796</v>
      </c>
      <c r="F335" s="3">
        <v>4514.3413446805298</v>
      </c>
      <c r="G335" s="3">
        <v>2302.5517964371002</v>
      </c>
      <c r="H335" s="3">
        <v>3307.4195442956202</v>
      </c>
      <c r="I335" s="3">
        <v>17884.484905972298</v>
      </c>
      <c r="J335" s="3">
        <v>16905.549229026201</v>
      </c>
      <c r="K335" s="3">
        <v>18534.947684693601</v>
      </c>
      <c r="L335" s="3">
        <v>10481.9591634145</v>
      </c>
      <c r="M335" s="3">
        <v>13306.393886965199</v>
      </c>
      <c r="N335" s="3">
        <v>12056.2519683929</v>
      </c>
      <c r="O335" s="3">
        <v>10180.498839057</v>
      </c>
      <c r="P335" s="3">
        <v>8144.8312724274401</v>
      </c>
    </row>
    <row r="336" spans="1:16" x14ac:dyDescent="0.2">
      <c r="A336" s="1" t="s">
        <v>311</v>
      </c>
      <c r="B336" s="3">
        <v>0</v>
      </c>
      <c r="C336" s="3">
        <v>0</v>
      </c>
      <c r="D336" s="3">
        <v>0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</row>
    <row r="337" spans="1:16" x14ac:dyDescent="0.2">
      <c r="A337" s="1" t="s">
        <v>312</v>
      </c>
      <c r="B337" s="3">
        <v>0</v>
      </c>
      <c r="C337" s="3"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</row>
    <row r="338" spans="1:16" x14ac:dyDescent="0.2">
      <c r="A338" s="1" t="s">
        <v>313</v>
      </c>
      <c r="B338" s="3">
        <v>0</v>
      </c>
      <c r="C338" s="3">
        <v>0</v>
      </c>
      <c r="D338" s="3">
        <v>0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</row>
    <row r="339" spans="1:16" x14ac:dyDescent="0.2">
      <c r="A339" s="1" t="s">
        <v>314</v>
      </c>
      <c r="B339" s="3">
        <v>0</v>
      </c>
      <c r="C339" s="3"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</row>
    <row r="340" spans="1:16" x14ac:dyDescent="0.2">
      <c r="A340" s="1" t="s">
        <v>315</v>
      </c>
      <c r="B340" s="3">
        <v>0</v>
      </c>
      <c r="C340" s="3">
        <v>0</v>
      </c>
      <c r="D340" s="3">
        <v>0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</row>
    <row r="341" spans="1:16" x14ac:dyDescent="0.2">
      <c r="A341" s="1" t="s">
        <v>316</v>
      </c>
      <c r="B341" s="3">
        <v>0</v>
      </c>
      <c r="C341" s="3"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</row>
    <row r="342" spans="1:16" x14ac:dyDescent="0.2">
      <c r="A342" s="1" t="s">
        <v>317</v>
      </c>
      <c r="B342" s="3">
        <v>0</v>
      </c>
      <c r="C342" s="3">
        <v>0</v>
      </c>
      <c r="D342" s="3">
        <v>0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</row>
    <row r="344" spans="1:16" x14ac:dyDescent="0.2">
      <c r="A344" s="1" t="s">
        <v>318</v>
      </c>
      <c r="B344" s="3">
        <v>2560986.7372664502</v>
      </c>
      <c r="C344" s="3">
        <v>3460823.0305770999</v>
      </c>
      <c r="D344" s="3">
        <v>4423485.3927581999</v>
      </c>
      <c r="E344" s="3">
        <v>5216340.6193884304</v>
      </c>
      <c r="F344" s="3">
        <v>5370763.95468916</v>
      </c>
      <c r="G344" s="3">
        <v>4847311.2846476398</v>
      </c>
      <c r="H344" s="3">
        <v>3222842.3929393198</v>
      </c>
      <c r="I344" s="3">
        <v>3737847.4564023898</v>
      </c>
      <c r="J344" s="3">
        <v>4490500.7720922101</v>
      </c>
      <c r="K344" s="3">
        <v>5411634.8174002003</v>
      </c>
      <c r="L344" s="3">
        <v>5361189.5824720599</v>
      </c>
      <c r="M344" s="3">
        <v>4954810.7889502896</v>
      </c>
      <c r="N344" s="3">
        <v>5278852.0718792602</v>
      </c>
      <c r="O344" s="3">
        <v>4494629.4588015499</v>
      </c>
      <c r="P344" s="3">
        <v>4481226.3829347501</v>
      </c>
    </row>
    <row r="345" spans="1:16" x14ac:dyDescent="0.2">
      <c r="A345" s="1" t="s">
        <v>319</v>
      </c>
      <c r="B345" s="3">
        <v>0</v>
      </c>
      <c r="C345" s="3">
        <v>0</v>
      </c>
      <c r="D345" s="3">
        <v>0</v>
      </c>
      <c r="E345" s="3">
        <v>0</v>
      </c>
      <c r="F345" s="3">
        <v>13509.8238455993</v>
      </c>
      <c r="G345" s="3">
        <v>0</v>
      </c>
      <c r="H345" s="3">
        <v>956.03660394044698</v>
      </c>
      <c r="I345" s="3">
        <v>0</v>
      </c>
      <c r="J345" s="3">
        <v>0</v>
      </c>
      <c r="K345" s="3">
        <v>0</v>
      </c>
      <c r="L345" s="3">
        <v>20847.847438771802</v>
      </c>
      <c r="M345" s="3">
        <v>15783.6316782098</v>
      </c>
      <c r="N345" s="3">
        <v>3086.7619242365799</v>
      </c>
      <c r="O345" s="3">
        <v>0</v>
      </c>
      <c r="P345" s="3">
        <v>0</v>
      </c>
    </row>
    <row r="346" spans="1:16" x14ac:dyDescent="0.2">
      <c r="A346" s="1" t="s">
        <v>320</v>
      </c>
      <c r="B346" s="3">
        <v>0</v>
      </c>
      <c r="C346" s="3">
        <v>17966.557596327799</v>
      </c>
      <c r="D346" s="3">
        <v>29708.430922463798</v>
      </c>
      <c r="E346" s="3">
        <v>26688.742451982002</v>
      </c>
      <c r="F346" s="3">
        <v>73261.552174688899</v>
      </c>
      <c r="G346" s="3">
        <v>51270.647547232897</v>
      </c>
      <c r="H346" s="3">
        <v>52336.2108249718</v>
      </c>
      <c r="I346" s="3">
        <v>43782.641287851002</v>
      </c>
      <c r="J346" s="3">
        <v>39354.085186319098</v>
      </c>
      <c r="K346" s="3">
        <v>42847.600604869003</v>
      </c>
      <c r="L346" s="3">
        <v>92911.413735020004</v>
      </c>
      <c r="M346" s="3">
        <v>104576.67676651401</v>
      </c>
      <c r="N346" s="3">
        <v>105777.676053182</v>
      </c>
      <c r="O346" s="3">
        <v>57551.732622307303</v>
      </c>
      <c r="P346" s="3">
        <v>46200.659963134502</v>
      </c>
    </row>
    <row r="347" spans="1:16" x14ac:dyDescent="0.2">
      <c r="A347" s="1" t="s">
        <v>321</v>
      </c>
      <c r="B347" s="3">
        <v>0</v>
      </c>
      <c r="C347" s="3">
        <v>0</v>
      </c>
      <c r="D347" s="3">
        <v>0</v>
      </c>
      <c r="E347" s="3">
        <v>0</v>
      </c>
      <c r="F347" s="3">
        <v>3187.05610300546</v>
      </c>
      <c r="G347" s="3">
        <v>0</v>
      </c>
      <c r="H347" s="3">
        <v>0</v>
      </c>
      <c r="I347" s="3">
        <v>10790.689192433099</v>
      </c>
      <c r="J347" s="3">
        <v>4774.7448281414199</v>
      </c>
      <c r="K347" s="3">
        <v>9074.1518973677303</v>
      </c>
      <c r="L347" s="3">
        <v>6984.6535856487399</v>
      </c>
      <c r="M347" s="3">
        <v>7873.4354823811</v>
      </c>
      <c r="N347" s="3">
        <v>9288.42731518236</v>
      </c>
      <c r="O347" s="3">
        <v>0</v>
      </c>
      <c r="P347" s="3">
        <v>4005.4402032149101</v>
      </c>
    </row>
    <row r="348" spans="1:16" x14ac:dyDescent="0.2">
      <c r="A348" s="1" t="s">
        <v>322</v>
      </c>
      <c r="B348" s="3">
        <v>0</v>
      </c>
      <c r="C348" s="3">
        <v>0</v>
      </c>
      <c r="D348" s="3">
        <v>0</v>
      </c>
      <c r="E348" s="3">
        <v>0</v>
      </c>
      <c r="F348" s="3">
        <v>0</v>
      </c>
      <c r="G348" s="3">
        <v>0</v>
      </c>
      <c r="H348" s="3">
        <v>0</v>
      </c>
      <c r="I348" s="3">
        <v>183230.61228123101</v>
      </c>
      <c r="J348" s="3">
        <v>169401.32352452699</v>
      </c>
      <c r="K348" s="3">
        <v>181093.60733140001</v>
      </c>
      <c r="L348" s="3">
        <v>233149.53409144</v>
      </c>
      <c r="M348" s="3">
        <v>266648.34599374898</v>
      </c>
      <c r="N348" s="3">
        <v>297485.63576267398</v>
      </c>
      <c r="O348" s="3">
        <v>120145.643802297</v>
      </c>
      <c r="P348" s="3">
        <v>105500.95743985299</v>
      </c>
    </row>
    <row r="350" spans="1:16" x14ac:dyDescent="0.2">
      <c r="A350" s="1" t="s">
        <v>323</v>
      </c>
      <c r="B350" s="3">
        <v>388906.43204178102</v>
      </c>
      <c r="C350" s="3">
        <v>281051.77399760799</v>
      </c>
      <c r="D350" s="3">
        <v>452732.17519204703</v>
      </c>
      <c r="E350" s="3">
        <v>265494.67716516001</v>
      </c>
      <c r="F350" s="3">
        <v>437463.39777117799</v>
      </c>
      <c r="G350" s="3">
        <v>250333.05293556699</v>
      </c>
      <c r="H350" s="3">
        <v>313072.90343609301</v>
      </c>
      <c r="I350" s="3">
        <v>598041.84461170703</v>
      </c>
      <c r="J350" s="3">
        <v>552816.56986055803</v>
      </c>
      <c r="K350" s="3">
        <v>455555.71701578703</v>
      </c>
      <c r="L350" s="3">
        <v>479676.23177375802</v>
      </c>
      <c r="M350" s="3">
        <v>584580.31070556398</v>
      </c>
      <c r="N350" s="3">
        <v>459635.27098882099</v>
      </c>
      <c r="O350" s="3">
        <v>414341.50656902097</v>
      </c>
      <c r="P350" s="3">
        <v>412957.35245902598</v>
      </c>
    </row>
    <row r="351" spans="1:16" x14ac:dyDescent="0.2">
      <c r="A351" s="1" t="s">
        <v>324</v>
      </c>
      <c r="B351" s="3">
        <v>0</v>
      </c>
      <c r="C351" s="3">
        <v>0</v>
      </c>
      <c r="D351" s="3">
        <v>15137.2651056664</v>
      </c>
      <c r="E351" s="3">
        <v>5739.1160873947601</v>
      </c>
      <c r="F351" s="3">
        <v>0</v>
      </c>
      <c r="G351" s="3">
        <v>2009.1278597954599</v>
      </c>
      <c r="H351" s="3">
        <v>3354.8482189563701</v>
      </c>
      <c r="I351" s="3">
        <v>68659.415876045998</v>
      </c>
      <c r="J351" s="3">
        <v>73041.668777059094</v>
      </c>
      <c r="K351" s="3">
        <v>69255.431752072094</v>
      </c>
      <c r="L351" s="3">
        <v>53559.506361268301</v>
      </c>
      <c r="M351" s="3">
        <v>71781.656610182501</v>
      </c>
      <c r="N351" s="3">
        <v>51202.976808633597</v>
      </c>
      <c r="O351" s="3">
        <v>26502.554502834199</v>
      </c>
      <c r="P351" s="3">
        <v>31335.2396517792</v>
      </c>
    </row>
    <row r="352" spans="1:16" x14ac:dyDescent="0.2">
      <c r="A352" s="1" t="s">
        <v>325</v>
      </c>
      <c r="B352" s="3">
        <v>0</v>
      </c>
      <c r="C352" s="3">
        <v>11507.838292230999</v>
      </c>
      <c r="D352" s="3">
        <v>21726.598548859602</v>
      </c>
      <c r="E352" s="3">
        <v>15706.3152492353</v>
      </c>
      <c r="F352" s="3">
        <v>26279.862517000802</v>
      </c>
      <c r="G352" s="3">
        <v>11790.471962163399</v>
      </c>
      <c r="H352" s="3">
        <v>15282.081400920501</v>
      </c>
      <c r="I352" s="3">
        <v>19593.854639447902</v>
      </c>
      <c r="J352" s="3">
        <v>20347.4162574615</v>
      </c>
      <c r="K352" s="3">
        <v>21957.870724854602</v>
      </c>
      <c r="L352" s="3">
        <v>20174.058829287202</v>
      </c>
      <c r="M352" s="3">
        <v>21853.168165726001</v>
      </c>
      <c r="N352" s="3">
        <v>16859.851986444999</v>
      </c>
      <c r="O352" s="3">
        <v>16063.834626981699</v>
      </c>
      <c r="P352" s="3">
        <v>17029.792497085899</v>
      </c>
    </row>
    <row r="353" spans="1:16" x14ac:dyDescent="0.2">
      <c r="A353" s="1" t="s">
        <v>326</v>
      </c>
      <c r="B353" s="3">
        <v>0</v>
      </c>
      <c r="C353" s="3">
        <v>15267.298950492501</v>
      </c>
      <c r="D353" s="3">
        <v>24428.973597608201</v>
      </c>
      <c r="E353" s="3">
        <v>10505.5214630105</v>
      </c>
      <c r="F353" s="3">
        <v>22223.561440814701</v>
      </c>
      <c r="G353" s="3">
        <v>10773.7280470762</v>
      </c>
      <c r="H353" s="3">
        <v>17256.114162768801</v>
      </c>
      <c r="I353" s="3">
        <v>20531.711971869001</v>
      </c>
      <c r="J353" s="3">
        <v>20719.5833054664</v>
      </c>
      <c r="K353" s="3">
        <v>13668.8045428483</v>
      </c>
      <c r="L353" s="3">
        <v>9718.4433430640092</v>
      </c>
      <c r="M353" s="3">
        <v>16601.662613979799</v>
      </c>
      <c r="N353" s="3">
        <v>5518.0062196203098</v>
      </c>
      <c r="O353" s="3">
        <v>12781.0452362455</v>
      </c>
      <c r="P353" s="3">
        <v>14664.0297217386</v>
      </c>
    </row>
    <row r="354" spans="1:16" x14ac:dyDescent="0.2">
      <c r="A354" s="1" t="s">
        <v>327</v>
      </c>
      <c r="B354" s="3">
        <v>0</v>
      </c>
      <c r="C354" s="3">
        <v>5965.5313032011099</v>
      </c>
      <c r="D354" s="3">
        <v>6529.1496791907002</v>
      </c>
      <c r="E354" s="3">
        <v>0</v>
      </c>
      <c r="F354" s="3">
        <v>4350.7216021723398</v>
      </c>
      <c r="G354" s="3">
        <v>0</v>
      </c>
      <c r="H354" s="3">
        <v>0</v>
      </c>
      <c r="I354" s="3">
        <v>18118.185060271098</v>
      </c>
      <c r="J354" s="3">
        <v>19646.8901927722</v>
      </c>
      <c r="K354" s="3">
        <v>12877.095308141899</v>
      </c>
      <c r="L354" s="3">
        <v>13752.161551176399</v>
      </c>
      <c r="M354" s="3">
        <v>18767.094026043898</v>
      </c>
      <c r="N354" s="3">
        <v>13940.580438901599</v>
      </c>
      <c r="O354" s="3">
        <v>7199.2177326982401</v>
      </c>
      <c r="P354" s="3">
        <v>10143.7290620599</v>
      </c>
    </row>
    <row r="355" spans="1:16" x14ac:dyDescent="0.2">
      <c r="A355" s="1" t="s">
        <v>328</v>
      </c>
      <c r="B355" s="3">
        <v>0</v>
      </c>
      <c r="C355" s="3">
        <v>23973.125338727699</v>
      </c>
      <c r="D355" s="3">
        <v>30883.6415402286</v>
      </c>
      <c r="E355" s="3">
        <v>22351.097783175701</v>
      </c>
      <c r="F355" s="3">
        <v>32655.796879840302</v>
      </c>
      <c r="G355" s="3">
        <v>17156.8276315902</v>
      </c>
      <c r="H355" s="3">
        <v>22046.179057776299</v>
      </c>
      <c r="I355" s="3">
        <v>11689.9064892143</v>
      </c>
      <c r="J355" s="3">
        <v>9670.7527713453492</v>
      </c>
      <c r="K355" s="3">
        <v>6595.1084775998797</v>
      </c>
      <c r="L355" s="3">
        <v>5253.8747356539097</v>
      </c>
      <c r="M355" s="3">
        <v>5944.9476082434103</v>
      </c>
      <c r="N355" s="3">
        <v>10784.620917865201</v>
      </c>
      <c r="O355" s="3">
        <v>17153.372252261801</v>
      </c>
      <c r="P355" s="3">
        <v>14229.625695610001</v>
      </c>
    </row>
    <row r="356" spans="1:16" x14ac:dyDescent="0.2">
      <c r="A356" s="1" t="s">
        <v>329</v>
      </c>
      <c r="B356" s="3">
        <v>0</v>
      </c>
      <c r="C356" s="3">
        <v>0</v>
      </c>
      <c r="D356" s="3">
        <v>0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</row>
    <row r="357" spans="1:16" x14ac:dyDescent="0.2">
      <c r="A357" s="1" t="s">
        <v>330</v>
      </c>
      <c r="B357" s="3">
        <v>0</v>
      </c>
      <c r="C357" s="3">
        <v>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</row>
    <row r="358" spans="1:16" x14ac:dyDescent="0.2">
      <c r="A358" s="1" t="s">
        <v>331</v>
      </c>
      <c r="B358" s="3">
        <v>0</v>
      </c>
      <c r="C358" s="3">
        <v>0</v>
      </c>
      <c r="D358" s="3">
        <v>0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</row>
    <row r="359" spans="1:16" x14ac:dyDescent="0.2">
      <c r="A359" s="1" t="s">
        <v>332</v>
      </c>
      <c r="B359" s="3">
        <v>0</v>
      </c>
      <c r="C359" s="3"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</row>
    <row r="361" spans="1:16" x14ac:dyDescent="0.2">
      <c r="A361" s="1" t="s">
        <v>333</v>
      </c>
      <c r="B361" s="3">
        <v>12975707.346623899</v>
      </c>
      <c r="C361" s="3">
        <v>4157266.4462055098</v>
      </c>
      <c r="D361" s="3">
        <v>7568558.5124074398</v>
      </c>
      <c r="E361" s="3">
        <v>5566150.1257632095</v>
      </c>
      <c r="F361" s="3">
        <v>7257798.1239614002</v>
      </c>
      <c r="G361" s="3">
        <v>5718510.0828215601</v>
      </c>
      <c r="H361" s="3">
        <v>5468657.3186666304</v>
      </c>
      <c r="I361" s="3">
        <v>14535838.9787807</v>
      </c>
      <c r="J361" s="3">
        <v>14269572.9343687</v>
      </c>
      <c r="K361" s="3">
        <v>14104610.2601049</v>
      </c>
      <c r="L361" s="3">
        <v>13702419.967856299</v>
      </c>
      <c r="M361" s="3">
        <v>14402197.763454</v>
      </c>
      <c r="N361" s="3">
        <v>14562384.2487131</v>
      </c>
      <c r="O361" s="3">
        <v>9926370.3709817305</v>
      </c>
      <c r="P361" s="3">
        <v>10057542.039250201</v>
      </c>
    </row>
    <row r="362" spans="1:16" x14ac:dyDescent="0.2">
      <c r="A362" s="1" t="s">
        <v>334</v>
      </c>
      <c r="B362" s="3">
        <v>0</v>
      </c>
      <c r="C362" s="3">
        <v>167972.792423979</v>
      </c>
      <c r="D362" s="3">
        <v>133399.63885054001</v>
      </c>
      <c r="E362" s="3">
        <v>97451.391423066496</v>
      </c>
      <c r="F362" s="3">
        <v>123654.07898807499</v>
      </c>
      <c r="G362" s="3">
        <v>115813.718018396</v>
      </c>
      <c r="H362" s="3">
        <v>119030.729212084</v>
      </c>
      <c r="I362" s="3">
        <v>1512511.3692178701</v>
      </c>
      <c r="J362" s="3">
        <v>1517032.0852319601</v>
      </c>
      <c r="K362" s="3">
        <v>1481238.1703299701</v>
      </c>
      <c r="L362" s="3">
        <v>1493753.9174541601</v>
      </c>
      <c r="M362" s="3">
        <v>1436218.9330402701</v>
      </c>
      <c r="N362" s="3">
        <v>1501641.3414745701</v>
      </c>
      <c r="O362" s="3">
        <v>707594.36297720601</v>
      </c>
      <c r="P362" s="3">
        <v>868070.78037994297</v>
      </c>
    </row>
    <row r="363" spans="1:16" x14ac:dyDescent="0.2">
      <c r="A363" s="1" t="s">
        <v>335</v>
      </c>
      <c r="B363" s="3">
        <v>0</v>
      </c>
      <c r="C363" s="3">
        <v>128819.57745446901</v>
      </c>
      <c r="D363" s="3">
        <v>233826.85533890501</v>
      </c>
      <c r="E363" s="3">
        <v>109635.45750069599</v>
      </c>
      <c r="F363" s="3">
        <v>123283.781645964</v>
      </c>
      <c r="G363" s="3">
        <v>70669.053026208596</v>
      </c>
      <c r="H363" s="3">
        <v>76518.665869616802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14274.0351060631</v>
      </c>
    </row>
    <row r="364" spans="1:16" x14ac:dyDescent="0.2">
      <c r="A364" s="1" t="s">
        <v>336</v>
      </c>
      <c r="B364" s="3">
        <v>0</v>
      </c>
      <c r="C364" s="3">
        <v>478375.87725015898</v>
      </c>
      <c r="D364" s="3">
        <v>807966.73626349506</v>
      </c>
      <c r="E364" s="3">
        <v>561043.80039523705</v>
      </c>
      <c r="F364" s="3">
        <v>651892.49761948199</v>
      </c>
      <c r="G364" s="3">
        <v>523522.422252847</v>
      </c>
      <c r="H364" s="3">
        <v>477794.97640648898</v>
      </c>
      <c r="I364" s="3">
        <v>389455.36108611501</v>
      </c>
      <c r="J364" s="3">
        <v>330672.01913378399</v>
      </c>
      <c r="K364" s="3">
        <v>412603.173939973</v>
      </c>
      <c r="L364" s="3">
        <v>338102.02219015901</v>
      </c>
      <c r="M364" s="3">
        <v>317800.29530965397</v>
      </c>
      <c r="N364" s="3">
        <v>334241.051504804</v>
      </c>
      <c r="O364" s="3">
        <v>485713.23680772999</v>
      </c>
      <c r="P364" s="3">
        <v>551778.160869024</v>
      </c>
    </row>
    <row r="365" spans="1:16" x14ac:dyDescent="0.2">
      <c r="A365" s="1" t="s">
        <v>337</v>
      </c>
      <c r="B365" s="3">
        <v>0</v>
      </c>
      <c r="C365" s="3">
        <v>180555.54731305601</v>
      </c>
      <c r="D365" s="3">
        <v>280194.72061146598</v>
      </c>
      <c r="E365" s="3">
        <v>210848.106406348</v>
      </c>
      <c r="F365" s="3">
        <v>233438.815722628</v>
      </c>
      <c r="G365" s="3">
        <v>143210.627684109</v>
      </c>
      <c r="H365" s="3">
        <v>134850.55154132599</v>
      </c>
      <c r="I365" s="3">
        <v>386260.059399708</v>
      </c>
      <c r="J365" s="3">
        <v>350672.65690966102</v>
      </c>
      <c r="K365" s="3">
        <v>389535.86258509202</v>
      </c>
      <c r="L365" s="3">
        <v>312204.325759859</v>
      </c>
      <c r="M365" s="3">
        <v>271068.65662509197</v>
      </c>
      <c r="N365" s="3">
        <v>299887.584562262</v>
      </c>
      <c r="O365" s="3">
        <v>243384.92888719001</v>
      </c>
      <c r="P365" s="3">
        <v>278187.34511574602</v>
      </c>
    </row>
    <row r="366" spans="1:16" x14ac:dyDescent="0.2">
      <c r="A366" s="1" t="s">
        <v>338</v>
      </c>
      <c r="B366" s="3">
        <v>0</v>
      </c>
      <c r="C366" s="3">
        <v>437313.565614864</v>
      </c>
      <c r="D366" s="3">
        <v>756107.62945918296</v>
      </c>
      <c r="E366" s="3">
        <v>524839.95507377095</v>
      </c>
      <c r="F366" s="3">
        <v>636001.02120059601</v>
      </c>
      <c r="G366" s="3">
        <v>484797.46848631802</v>
      </c>
      <c r="H366" s="3">
        <v>521886.73503407702</v>
      </c>
      <c r="I366" s="3">
        <v>133906.07048077701</v>
      </c>
      <c r="J366" s="3">
        <v>121706.05284666699</v>
      </c>
      <c r="K366" s="3">
        <v>118279.40725273</v>
      </c>
      <c r="L366" s="3">
        <v>116514.593484399</v>
      </c>
      <c r="M366" s="3">
        <v>92069.256077029495</v>
      </c>
      <c r="N366" s="3">
        <v>96380.159159859104</v>
      </c>
      <c r="O366" s="3">
        <v>294586.62710477802</v>
      </c>
      <c r="P366" s="3">
        <v>335523.72909844102</v>
      </c>
    </row>
    <row r="367" spans="1:16" x14ac:dyDescent="0.2">
      <c r="A367" s="1" t="s">
        <v>339</v>
      </c>
      <c r="B367" s="3">
        <v>0</v>
      </c>
      <c r="C367" s="3">
        <v>3677899.4692573301</v>
      </c>
      <c r="D367" s="3">
        <v>6413116.3051130902</v>
      </c>
      <c r="E367" s="3">
        <v>4668826.6470272699</v>
      </c>
      <c r="F367" s="3">
        <v>5702185.3037245004</v>
      </c>
      <c r="G367" s="3">
        <v>4315204.3129093898</v>
      </c>
      <c r="H367" s="3">
        <v>4164342.6989964601</v>
      </c>
      <c r="I367" s="3">
        <v>14455.7796922902</v>
      </c>
      <c r="J367" s="3">
        <v>8317.37667955283</v>
      </c>
      <c r="K367" s="3">
        <v>15036.0887093355</v>
      </c>
      <c r="L367" s="3">
        <v>0</v>
      </c>
      <c r="M367" s="3">
        <v>0</v>
      </c>
      <c r="N367" s="3">
        <v>10165.303394930301</v>
      </c>
      <c r="O367" s="3">
        <v>2333412.8290201798</v>
      </c>
      <c r="P367" s="3">
        <v>2401761.0328597701</v>
      </c>
    </row>
    <row r="368" spans="1:16" x14ac:dyDescent="0.2">
      <c r="A368" s="1" t="s">
        <v>340</v>
      </c>
      <c r="B368" s="3">
        <v>0</v>
      </c>
      <c r="C368" s="3">
        <v>148956.945515631</v>
      </c>
      <c r="D368" s="3">
        <v>194971.067708474</v>
      </c>
      <c r="E368" s="3">
        <v>149652.65055442299</v>
      </c>
      <c r="F368" s="3">
        <v>145266.201614928</v>
      </c>
      <c r="G368" s="3">
        <v>85131.062166870805</v>
      </c>
      <c r="H368" s="3">
        <v>136574.19833018701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79166.195422581499</v>
      </c>
      <c r="P368" s="3">
        <v>88116.697475268098</v>
      </c>
    </row>
    <row r="369" spans="1:16" x14ac:dyDescent="0.2">
      <c r="A369" s="1" t="s">
        <v>341</v>
      </c>
      <c r="B369" s="3">
        <v>0</v>
      </c>
      <c r="C369" s="3">
        <v>316657.73627715802</v>
      </c>
      <c r="D369" s="3">
        <v>506249.85158972902</v>
      </c>
      <c r="E369" s="3">
        <v>401442.05876515998</v>
      </c>
      <c r="F369" s="3">
        <v>424956.29701755301</v>
      </c>
      <c r="G369" s="3">
        <v>321608.536383403</v>
      </c>
      <c r="H369" s="3">
        <v>320602.02642115502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180155.90200991399</v>
      </c>
      <c r="P369" s="3">
        <v>182337.97398832499</v>
      </c>
    </row>
    <row r="370" spans="1:16" x14ac:dyDescent="0.2">
      <c r="A370" s="1" t="s">
        <v>342</v>
      </c>
      <c r="B370" s="3">
        <v>0</v>
      </c>
      <c r="C370" s="3">
        <v>204938.099929741</v>
      </c>
      <c r="D370" s="3">
        <v>269858.65758537798</v>
      </c>
      <c r="E370" s="3">
        <v>189325.17057834301</v>
      </c>
      <c r="F370" s="3">
        <v>216857.64067378399</v>
      </c>
      <c r="G370" s="3">
        <v>170596.608018025</v>
      </c>
      <c r="H370" s="3">
        <v>129730.99666601499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107083.740847814</v>
      </c>
      <c r="P370" s="3">
        <v>83806.466537592307</v>
      </c>
    </row>
    <row r="371" spans="1:16" x14ac:dyDescent="0.2">
      <c r="A371" s="1" t="s">
        <v>343</v>
      </c>
      <c r="B371" s="3">
        <v>0</v>
      </c>
      <c r="C371" s="3">
        <v>42794.9970027585</v>
      </c>
      <c r="D371" s="3">
        <v>93891.074694982497</v>
      </c>
      <c r="E371" s="3">
        <v>66392.801103081001</v>
      </c>
      <c r="F371" s="3">
        <v>59246.391321505202</v>
      </c>
      <c r="G371" s="3">
        <v>49635.739302409798</v>
      </c>
      <c r="H371" s="3">
        <v>48862.5765894988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22421.956456046599</v>
      </c>
      <c r="P371" s="3">
        <v>15781.050056281199</v>
      </c>
    </row>
    <row r="372" spans="1:16" x14ac:dyDescent="0.2">
      <c r="A372" s="1" t="s">
        <v>344</v>
      </c>
      <c r="B372" s="3">
        <v>0</v>
      </c>
      <c r="C372" s="3">
        <v>216520.119625124</v>
      </c>
      <c r="D372" s="3">
        <v>315882.04692880099</v>
      </c>
      <c r="E372" s="3">
        <v>236780.37250915999</v>
      </c>
      <c r="F372" s="3">
        <v>262947.08243441797</v>
      </c>
      <c r="G372" s="3">
        <v>220982.942343598</v>
      </c>
      <c r="H372" s="3">
        <v>204162.61473484401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139429.637845116</v>
      </c>
      <c r="P372" s="3">
        <v>119828.16134823</v>
      </c>
    </row>
    <row r="373" spans="1:16" x14ac:dyDescent="0.2">
      <c r="A373" s="1" t="s">
        <v>345</v>
      </c>
      <c r="B373" s="3">
        <v>0</v>
      </c>
      <c r="C373" s="3">
        <v>1500.9531053230701</v>
      </c>
      <c r="D373" s="3">
        <v>10621.594807271</v>
      </c>
      <c r="E373" s="3">
        <v>5601.8215474752596</v>
      </c>
      <c r="F373" s="3">
        <v>8322.2181015977203</v>
      </c>
      <c r="G373" s="3">
        <v>4169.0737698663197</v>
      </c>
      <c r="H373" s="3">
        <v>10724.8885849257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</row>
    <row r="374" spans="1:16" x14ac:dyDescent="0.2">
      <c r="A374" s="1" t="s">
        <v>346</v>
      </c>
      <c r="B374" s="3">
        <v>0</v>
      </c>
      <c r="C374" s="3">
        <v>0</v>
      </c>
      <c r="D374" s="3">
        <v>6237.3094843797599</v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</row>
    <row r="375" spans="1:16" x14ac:dyDescent="0.2">
      <c r="A375" s="1" t="s">
        <v>347</v>
      </c>
      <c r="B375" s="3">
        <v>0</v>
      </c>
      <c r="C375" s="3">
        <v>0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</row>
    <row r="376" spans="1:16" x14ac:dyDescent="0.2">
      <c r="A376" s="1" t="s">
        <v>348</v>
      </c>
      <c r="B376" s="3">
        <v>0</v>
      </c>
      <c r="C376" s="3">
        <v>0</v>
      </c>
      <c r="D376" s="3">
        <v>0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</row>
    <row r="378" spans="1:16" x14ac:dyDescent="0.2">
      <c r="A378" s="1" t="s">
        <v>349</v>
      </c>
      <c r="B378" s="3">
        <v>24760.119889405301</v>
      </c>
      <c r="C378" s="3">
        <v>12194.475036100001</v>
      </c>
      <c r="D378" s="3">
        <v>30696.627620540501</v>
      </c>
      <c r="E378" s="3">
        <v>20893.7676268498</v>
      </c>
      <c r="F378" s="3">
        <v>26338.696284603</v>
      </c>
      <c r="G378" s="3">
        <v>17470.388866375699</v>
      </c>
      <c r="H378" s="3">
        <v>17132.359211420899</v>
      </c>
      <c r="I378" s="3">
        <v>29378.753835046598</v>
      </c>
      <c r="J378" s="3">
        <v>33209.7565912016</v>
      </c>
      <c r="K378" s="3">
        <v>29568.7574319493</v>
      </c>
      <c r="L378" s="3">
        <v>23172.7061176075</v>
      </c>
      <c r="M378" s="3">
        <v>24836.342262581398</v>
      </c>
      <c r="N378" s="3">
        <v>22677.813028000401</v>
      </c>
      <c r="O378" s="3">
        <v>31212.509479572898</v>
      </c>
      <c r="P378" s="3">
        <v>23563.7600321631</v>
      </c>
    </row>
    <row r="379" spans="1:16" x14ac:dyDescent="0.2">
      <c r="A379" s="1" t="s">
        <v>350</v>
      </c>
      <c r="B379" s="3">
        <v>0</v>
      </c>
      <c r="C379" s="3">
        <v>0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3806.1354830742898</v>
      </c>
      <c r="J379" s="3">
        <v>2857.66293479361</v>
      </c>
      <c r="K379" s="3">
        <v>0</v>
      </c>
      <c r="L379" s="3">
        <v>0</v>
      </c>
      <c r="M379" s="3">
        <v>3382.910203678</v>
      </c>
      <c r="N379" s="3">
        <v>0</v>
      </c>
      <c r="O379" s="3">
        <v>0</v>
      </c>
      <c r="P379" s="3">
        <v>0</v>
      </c>
    </row>
    <row r="380" spans="1:16" x14ac:dyDescent="0.2">
      <c r="A380" s="1" t="s">
        <v>351</v>
      </c>
      <c r="B380" s="3">
        <v>0</v>
      </c>
      <c r="C380" s="3">
        <v>0</v>
      </c>
      <c r="D380" s="3">
        <v>0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</row>
    <row r="381" spans="1:16" x14ac:dyDescent="0.2">
      <c r="A381" s="1" t="s">
        <v>352</v>
      </c>
      <c r="B381" s="3">
        <v>0</v>
      </c>
      <c r="C381" s="3">
        <v>0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</row>
    <row r="382" spans="1:16" x14ac:dyDescent="0.2">
      <c r="A382" s="1" t="s">
        <v>353</v>
      </c>
      <c r="B382" s="3">
        <v>0</v>
      </c>
      <c r="C382" s="3">
        <v>0</v>
      </c>
      <c r="D382" s="3">
        <v>0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</row>
    <row r="383" spans="1:16" x14ac:dyDescent="0.2">
      <c r="A383" s="1" t="s">
        <v>354</v>
      </c>
      <c r="B383" s="3">
        <v>0</v>
      </c>
      <c r="C383" s="3">
        <v>0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</row>
    <row r="384" spans="1:16" x14ac:dyDescent="0.2">
      <c r="A384" s="1" t="s">
        <v>355</v>
      </c>
      <c r="B384" s="3">
        <v>0</v>
      </c>
      <c r="C384" s="3">
        <v>0</v>
      </c>
      <c r="D384" s="3">
        <v>0</v>
      </c>
      <c r="E384" s="3">
        <v>0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</row>
    <row r="385" spans="1:16" x14ac:dyDescent="0.2">
      <c r="A385" s="1" t="s">
        <v>356</v>
      </c>
      <c r="B385" s="3">
        <v>0</v>
      </c>
      <c r="C385" s="3">
        <v>0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</row>
    <row r="386" spans="1:16" x14ac:dyDescent="0.2">
      <c r="A386" s="1" t="s">
        <v>357</v>
      </c>
      <c r="B386" s="3">
        <v>0</v>
      </c>
      <c r="C386" s="3">
        <v>0</v>
      </c>
      <c r="D386" s="3">
        <v>0</v>
      </c>
      <c r="E386" s="3">
        <v>0</v>
      </c>
      <c r="F386" s="3">
        <v>0</v>
      </c>
      <c r="G386" s="3">
        <v>0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</row>
    <row r="387" spans="1:16" x14ac:dyDescent="0.2">
      <c r="A387" s="1" t="s">
        <v>358</v>
      </c>
      <c r="B387" s="3">
        <v>0</v>
      </c>
      <c r="C387" s="3">
        <v>0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</row>
    <row r="389" spans="1:16" x14ac:dyDescent="0.2">
      <c r="A389" s="1" t="s">
        <v>359</v>
      </c>
      <c r="B389" s="3">
        <v>4465278.9494992802</v>
      </c>
      <c r="C389" s="3">
        <v>4495098.4674922498</v>
      </c>
      <c r="D389" s="3">
        <v>5658882.6499142796</v>
      </c>
      <c r="E389" s="3">
        <v>5141333.8407206796</v>
      </c>
      <c r="F389" s="3">
        <v>5235432.0174146798</v>
      </c>
      <c r="G389" s="3">
        <v>4293049.5262835501</v>
      </c>
      <c r="H389" s="3">
        <v>4410781.05735044</v>
      </c>
      <c r="I389" s="3">
        <v>4975078.4840866402</v>
      </c>
      <c r="J389" s="3">
        <v>5194877.2961967001</v>
      </c>
      <c r="K389" s="3">
        <v>4678847.41110624</v>
      </c>
      <c r="L389" s="3">
        <v>4777661.4328884799</v>
      </c>
      <c r="M389" s="3">
        <v>5504510.2507911902</v>
      </c>
      <c r="N389" s="3">
        <v>5501248.1541536702</v>
      </c>
      <c r="O389" s="3">
        <v>5158629.6913991999</v>
      </c>
      <c r="P389" s="3">
        <v>4913005.8555194298</v>
      </c>
    </row>
    <row r="390" spans="1:16" x14ac:dyDescent="0.2">
      <c r="A390" s="1" t="s">
        <v>360</v>
      </c>
      <c r="B390" s="3">
        <v>0</v>
      </c>
      <c r="C390" s="3">
        <v>1813.4429344108801</v>
      </c>
      <c r="D390" s="3">
        <v>0</v>
      </c>
      <c r="E390" s="3">
        <v>5134.3224870605</v>
      </c>
      <c r="F390" s="3">
        <v>13786.198133662399</v>
      </c>
      <c r="G390" s="3">
        <v>0</v>
      </c>
      <c r="H390" s="3">
        <v>0</v>
      </c>
      <c r="I390" s="3">
        <v>501717.11187207402</v>
      </c>
      <c r="J390" s="3">
        <v>593122.50677585299</v>
      </c>
      <c r="K390" s="3">
        <v>528803.22817796096</v>
      </c>
      <c r="L390" s="3">
        <v>528879.54665760696</v>
      </c>
      <c r="M390" s="3">
        <v>564672.45848697703</v>
      </c>
      <c r="N390" s="3">
        <v>598305.26913340297</v>
      </c>
      <c r="O390" s="3">
        <v>242780.204489678</v>
      </c>
      <c r="P390" s="3">
        <v>243643.822757188</v>
      </c>
    </row>
    <row r="391" spans="1:16" x14ac:dyDescent="0.2">
      <c r="A391" s="1" t="s">
        <v>361</v>
      </c>
      <c r="B391" s="3">
        <v>0</v>
      </c>
      <c r="C391" s="3">
        <v>217484.81321552</v>
      </c>
      <c r="D391" s="3">
        <v>268193.55040331202</v>
      </c>
      <c r="E391" s="3">
        <v>265655.00324966502</v>
      </c>
      <c r="F391" s="3">
        <v>283161.32060979703</v>
      </c>
      <c r="G391" s="3">
        <v>199719.13083455199</v>
      </c>
      <c r="H391" s="3">
        <v>226899.914156971</v>
      </c>
      <c r="I391" s="3">
        <v>187371.25056403299</v>
      </c>
      <c r="J391" s="3">
        <v>197283.25590578301</v>
      </c>
      <c r="K391" s="3">
        <v>192802.13172341601</v>
      </c>
      <c r="L391" s="3">
        <v>179388.14133253699</v>
      </c>
      <c r="M391" s="3">
        <v>234534.461212205</v>
      </c>
      <c r="N391" s="3">
        <v>231556.568479632</v>
      </c>
      <c r="O391" s="3">
        <v>198903.202765083</v>
      </c>
      <c r="P391" s="3">
        <v>203996.56999671599</v>
      </c>
    </row>
    <row r="392" spans="1:16" x14ac:dyDescent="0.2">
      <c r="A392" s="1" t="s">
        <v>362</v>
      </c>
      <c r="B392" s="3">
        <v>0</v>
      </c>
      <c r="C392" s="3">
        <v>232487.57851848999</v>
      </c>
      <c r="D392" s="3">
        <v>279616.25734337303</v>
      </c>
      <c r="E392" s="3">
        <v>234429.82646609499</v>
      </c>
      <c r="F392" s="3">
        <v>259139.61598505499</v>
      </c>
      <c r="G392" s="3">
        <v>196892.844294971</v>
      </c>
      <c r="H392" s="3">
        <v>219058.58517258</v>
      </c>
      <c r="I392" s="3">
        <v>143878.819990155</v>
      </c>
      <c r="J392" s="3">
        <v>142565.475180915</v>
      </c>
      <c r="K392" s="3">
        <v>145696.32312435799</v>
      </c>
      <c r="L392" s="3">
        <v>138854.300033365</v>
      </c>
      <c r="M392" s="3">
        <v>123747.161924393</v>
      </c>
      <c r="N392" s="3">
        <v>160643.25475651701</v>
      </c>
      <c r="O392" s="3">
        <v>200296.48089136599</v>
      </c>
      <c r="P392" s="3">
        <v>178576.03639871601</v>
      </c>
    </row>
    <row r="393" spans="1:16" x14ac:dyDescent="0.2">
      <c r="A393" s="1" t="s">
        <v>363</v>
      </c>
      <c r="B393" s="3">
        <v>0</v>
      </c>
      <c r="C393" s="3">
        <v>55643.591822610098</v>
      </c>
      <c r="D393" s="3">
        <v>77356.774826046501</v>
      </c>
      <c r="E393" s="3">
        <v>55954.197062008701</v>
      </c>
      <c r="F393" s="3">
        <v>53280.132215484002</v>
      </c>
      <c r="G393" s="3">
        <v>39891.655513903497</v>
      </c>
      <c r="H393" s="3">
        <v>48917.707924663599</v>
      </c>
      <c r="I393" s="3">
        <v>183756.40461554399</v>
      </c>
      <c r="J393" s="3">
        <v>193450.14498213099</v>
      </c>
      <c r="K393" s="3">
        <v>181165.44392365299</v>
      </c>
      <c r="L393" s="3">
        <v>165090.064976664</v>
      </c>
      <c r="M393" s="3">
        <v>172249.081158958</v>
      </c>
      <c r="N393" s="3">
        <v>202745.94738671501</v>
      </c>
      <c r="O393" s="3">
        <v>115670.19425923</v>
      </c>
      <c r="P393" s="3">
        <v>124265.841748352</v>
      </c>
    </row>
    <row r="394" spans="1:16" x14ac:dyDescent="0.2">
      <c r="A394" s="1" t="s">
        <v>364</v>
      </c>
      <c r="B394" s="3">
        <v>0</v>
      </c>
      <c r="C394" s="3">
        <v>293369.16532840102</v>
      </c>
      <c r="D394" s="3">
        <v>349575.35402513901</v>
      </c>
      <c r="E394" s="3">
        <v>303162.288382739</v>
      </c>
      <c r="F394" s="3">
        <v>327221.34896690899</v>
      </c>
      <c r="G394" s="3">
        <v>245205.33772680699</v>
      </c>
      <c r="H394" s="3">
        <v>274619.94431721501</v>
      </c>
      <c r="I394" s="3">
        <v>59751.990001694699</v>
      </c>
      <c r="J394" s="3">
        <v>62904.633689377399</v>
      </c>
      <c r="K394" s="3">
        <v>67025.982800156198</v>
      </c>
      <c r="L394" s="3">
        <v>223036.78396548101</v>
      </c>
      <c r="M394" s="3">
        <v>223023.74768498499</v>
      </c>
      <c r="N394" s="3">
        <v>69803.687072565095</v>
      </c>
      <c r="O394" s="3">
        <v>166637.63217879401</v>
      </c>
      <c r="P394" s="3">
        <v>167103.19811542699</v>
      </c>
    </row>
    <row r="395" spans="1:16" x14ac:dyDescent="0.2">
      <c r="A395" s="1" t="s">
        <v>365</v>
      </c>
      <c r="B395" s="3">
        <v>0</v>
      </c>
      <c r="C395" s="3">
        <v>10641.2413514456</v>
      </c>
      <c r="D395" s="3">
        <v>14402.222709489901</v>
      </c>
      <c r="E395" s="3">
        <v>15474.8035465254</v>
      </c>
      <c r="F395" s="3">
        <v>13554.2005101256</v>
      </c>
      <c r="G395" s="3">
        <v>9899.5112697792392</v>
      </c>
      <c r="H395" s="3">
        <v>10329.9957323708</v>
      </c>
      <c r="I395" s="3">
        <v>5921.9146073137899</v>
      </c>
      <c r="J395" s="3">
        <v>4884.5203398575304</v>
      </c>
      <c r="K395" s="3">
        <v>6433.0193525896302</v>
      </c>
      <c r="L395" s="3">
        <v>0</v>
      </c>
      <c r="M395" s="3">
        <v>0</v>
      </c>
      <c r="N395" s="3">
        <v>6555.5277130717504</v>
      </c>
      <c r="O395" s="3">
        <v>9625.0013861500993</v>
      </c>
      <c r="P395" s="3">
        <v>5366.1210613126104</v>
      </c>
    </row>
    <row r="396" spans="1:16" x14ac:dyDescent="0.2">
      <c r="A396" s="1" t="s">
        <v>366</v>
      </c>
      <c r="B396" s="3">
        <v>0</v>
      </c>
      <c r="C396" s="3">
        <v>10784.1422412148</v>
      </c>
      <c r="D396" s="3">
        <v>8468.1610536266307</v>
      </c>
      <c r="E396" s="3">
        <v>7081.1525921216999</v>
      </c>
      <c r="F396" s="3">
        <v>8835.4432077040292</v>
      </c>
      <c r="G396" s="3">
        <v>7046.5100418936499</v>
      </c>
      <c r="H396" s="3">
        <v>8575.1726994647997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</row>
    <row r="397" spans="1:16" x14ac:dyDescent="0.2">
      <c r="A397" s="1" t="s">
        <v>367</v>
      </c>
      <c r="B397" s="3">
        <v>0</v>
      </c>
      <c r="C397" s="3">
        <v>0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</row>
    <row r="398" spans="1:16" x14ac:dyDescent="0.2">
      <c r="A398" s="1" t="s">
        <v>368</v>
      </c>
      <c r="B398" s="3">
        <v>0</v>
      </c>
      <c r="C398" s="3">
        <v>0</v>
      </c>
      <c r="D398" s="3">
        <v>0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</row>
    <row r="399" spans="1:16" x14ac:dyDescent="0.2">
      <c r="A399" s="1" t="s">
        <v>389</v>
      </c>
      <c r="B399" s="1" t="s">
        <v>1</v>
      </c>
      <c r="I399" s="1" t="s">
        <v>372</v>
      </c>
      <c r="J399" s="1" t="s">
        <v>373</v>
      </c>
      <c r="K399" s="1" t="s">
        <v>374</v>
      </c>
      <c r="L399" s="1" t="s">
        <v>375</v>
      </c>
      <c r="M399" s="1" t="s">
        <v>376</v>
      </c>
      <c r="N399" s="1" t="s">
        <v>377</v>
      </c>
      <c r="O399" s="1" t="s">
        <v>14</v>
      </c>
      <c r="P399" s="1" t="s">
        <v>15</v>
      </c>
    </row>
    <row r="400" spans="1:16" x14ac:dyDescent="0.2">
      <c r="A400" s="1" t="s">
        <v>378</v>
      </c>
      <c r="B400" s="3">
        <v>3886424.78037012</v>
      </c>
      <c r="I400" s="3">
        <v>2359749.3208675198</v>
      </c>
      <c r="J400" s="3">
        <v>2415646.5127262701</v>
      </c>
      <c r="K400" s="3">
        <v>2655713.4436986898</v>
      </c>
      <c r="L400" s="3">
        <v>3246910.0233619199</v>
      </c>
      <c r="M400" s="3">
        <v>3191777.9450908201</v>
      </c>
      <c r="N400" s="3">
        <v>3646124.76151512</v>
      </c>
      <c r="O400" s="3">
        <v>3604752.1849761098</v>
      </c>
      <c r="P400" s="3">
        <v>3540104.2677678401</v>
      </c>
    </row>
    <row r="401" spans="1:16" x14ac:dyDescent="0.2">
      <c r="A401" s="1" t="s">
        <v>82</v>
      </c>
      <c r="B401" s="3">
        <v>0</v>
      </c>
      <c r="I401" s="3">
        <v>750985.18515222904</v>
      </c>
      <c r="J401" s="3">
        <v>658995.59523227601</v>
      </c>
      <c r="K401" s="3">
        <v>662326.10959364602</v>
      </c>
      <c r="L401" s="3">
        <v>1055244.6757721801</v>
      </c>
      <c r="M401" s="3">
        <v>1134490.77313546</v>
      </c>
      <c r="N401" s="3">
        <v>1319320.5293326699</v>
      </c>
      <c r="O401" s="3">
        <v>471400.824098235</v>
      </c>
      <c r="P401" s="3">
        <v>464901.36081618402</v>
      </c>
    </row>
    <row r="402" spans="1:16" x14ac:dyDescent="0.2">
      <c r="A402" s="1" t="s">
        <v>83</v>
      </c>
      <c r="B402" s="3">
        <v>0</v>
      </c>
      <c r="I402" s="3">
        <v>187204.67292496999</v>
      </c>
      <c r="J402" s="3">
        <v>164462.64597515899</v>
      </c>
      <c r="K402" s="3">
        <v>180994.36582267599</v>
      </c>
      <c r="L402" s="3">
        <v>381239.07911683799</v>
      </c>
      <c r="M402" s="3">
        <v>404542.17268750397</v>
      </c>
      <c r="N402" s="3">
        <v>450402.98903778498</v>
      </c>
      <c r="O402" s="3">
        <v>240892.637693022</v>
      </c>
      <c r="P402" s="3">
        <v>224785.936314299</v>
      </c>
    </row>
    <row r="403" spans="1:16" x14ac:dyDescent="0.2">
      <c r="A403" s="1" t="s">
        <v>84</v>
      </c>
      <c r="B403" s="3">
        <v>0</v>
      </c>
      <c r="I403" s="3">
        <v>278888.84147941199</v>
      </c>
      <c r="J403" s="3">
        <v>241648.03857656301</v>
      </c>
      <c r="K403" s="3">
        <v>246941.37241032199</v>
      </c>
      <c r="L403" s="3">
        <v>302067.77788297902</v>
      </c>
      <c r="M403" s="3">
        <v>298163.35056893801</v>
      </c>
      <c r="N403" s="3">
        <v>366059.00798205001</v>
      </c>
      <c r="O403" s="3">
        <v>162651.46029163199</v>
      </c>
      <c r="P403" s="3">
        <v>164819.08714846999</v>
      </c>
    </row>
    <row r="404" spans="1:16" x14ac:dyDescent="0.2">
      <c r="A404" s="1" t="s">
        <v>85</v>
      </c>
      <c r="B404" s="3">
        <v>0</v>
      </c>
      <c r="I404" s="3">
        <v>912016.04603710398</v>
      </c>
      <c r="J404" s="3">
        <v>801661.44665429601</v>
      </c>
      <c r="K404" s="3">
        <v>804597.21964402404</v>
      </c>
      <c r="L404" s="3">
        <v>1199215.59957352</v>
      </c>
      <c r="M404" s="3">
        <v>1233760.7285996501</v>
      </c>
      <c r="N404" s="3">
        <v>1490205.3272093299</v>
      </c>
      <c r="O404" s="3">
        <v>513038.16098643298</v>
      </c>
      <c r="P404" s="3">
        <v>509405.266001874</v>
      </c>
    </row>
    <row r="405" spans="1:16" x14ac:dyDescent="0.2">
      <c r="A405" s="1" t="s">
        <v>379</v>
      </c>
      <c r="B405" s="3">
        <v>0</v>
      </c>
      <c r="I405" s="3">
        <v>351504.446</v>
      </c>
      <c r="J405" s="3">
        <v>310669.625</v>
      </c>
      <c r="K405" s="3">
        <v>300203.038</v>
      </c>
      <c r="L405" s="3">
        <v>500048.29</v>
      </c>
      <c r="M405" s="3">
        <v>513320.67</v>
      </c>
      <c r="N405" s="3">
        <v>643774.71499999997</v>
      </c>
      <c r="O405" s="3">
        <v>214678.274</v>
      </c>
      <c r="P405" s="3">
        <v>219936.78700000001</v>
      </c>
    </row>
    <row r="407" spans="1:16" x14ac:dyDescent="0.2">
      <c r="A407" s="1" t="s">
        <v>380</v>
      </c>
      <c r="B407" s="3">
        <v>120026230.733073</v>
      </c>
      <c r="I407" s="3">
        <v>69818074.400801495</v>
      </c>
      <c r="J407" s="3">
        <v>70095704.815806195</v>
      </c>
      <c r="K407" s="3">
        <v>72957030.393892407</v>
      </c>
      <c r="L407" s="3">
        <v>65595835.268268801</v>
      </c>
      <c r="M407" s="3">
        <v>65341466.399762303</v>
      </c>
      <c r="N407" s="3">
        <v>73279961.111829996</v>
      </c>
      <c r="O407" s="3">
        <v>99248558.722492799</v>
      </c>
      <c r="P407" s="3">
        <v>98511063.069099203</v>
      </c>
    </row>
    <row r="408" spans="1:16" x14ac:dyDescent="0.2">
      <c r="A408" s="1" t="s">
        <v>381</v>
      </c>
      <c r="B408" s="3">
        <v>0</v>
      </c>
      <c r="I408" s="3">
        <v>27144392.573669199</v>
      </c>
      <c r="J408" s="3">
        <v>25288372.4945576</v>
      </c>
      <c r="K408" s="3">
        <v>25357143.960009102</v>
      </c>
      <c r="L408" s="3">
        <v>25217234.184188101</v>
      </c>
      <c r="M408" s="3">
        <v>25507635.343579099</v>
      </c>
      <c r="N408" s="3">
        <v>29215251.700999599</v>
      </c>
      <c r="O408" s="3">
        <v>13776873.1337274</v>
      </c>
      <c r="P408" s="3">
        <v>13733845.689975601</v>
      </c>
    </row>
    <row r="409" spans="1:16" x14ac:dyDescent="0.2">
      <c r="A409" s="1" t="s">
        <v>382</v>
      </c>
      <c r="B409" s="3">
        <v>0</v>
      </c>
      <c r="I409" s="3">
        <v>2546869.0074477298</v>
      </c>
      <c r="J409" s="3">
        <v>2477160.3424320002</v>
      </c>
      <c r="K409" s="3">
        <v>2631577.8872796101</v>
      </c>
      <c r="L409" s="3">
        <v>3557387.20066268</v>
      </c>
      <c r="M409" s="3">
        <v>3619668.07535455</v>
      </c>
      <c r="N409" s="3">
        <v>3862151.6027446599</v>
      </c>
      <c r="O409" s="3">
        <v>5627047.2175602801</v>
      </c>
      <c r="P409" s="3">
        <v>5514087.0467897197</v>
      </c>
    </row>
    <row r="410" spans="1:16" x14ac:dyDescent="0.2">
      <c r="A410" s="1" t="s">
        <v>383</v>
      </c>
      <c r="B410" s="3">
        <v>0</v>
      </c>
      <c r="I410" s="3">
        <v>8789987.6566489004</v>
      </c>
      <c r="J410" s="3">
        <v>8582537.9086832497</v>
      </c>
      <c r="K410" s="3">
        <v>9052725.0080921799</v>
      </c>
      <c r="L410" s="3">
        <v>11808953.619493101</v>
      </c>
      <c r="M410" s="3">
        <v>12033839.3748319</v>
      </c>
      <c r="N410" s="3">
        <v>13268015.1887383</v>
      </c>
      <c r="O410" s="3">
        <v>5545182.0719321296</v>
      </c>
      <c r="P410" s="3">
        <v>5522574.1145025603</v>
      </c>
    </row>
    <row r="411" spans="1:16" x14ac:dyDescent="0.2">
      <c r="A411" s="1" t="s">
        <v>384</v>
      </c>
      <c r="B411" s="3">
        <v>0</v>
      </c>
      <c r="I411" s="3">
        <v>5364212.1557346201</v>
      </c>
      <c r="J411" s="3">
        <v>5038732.5981157497</v>
      </c>
      <c r="K411" s="3">
        <v>5192950.2241132604</v>
      </c>
      <c r="L411" s="3">
        <v>6033907.3584398199</v>
      </c>
      <c r="M411" s="3">
        <v>6127451.9251388703</v>
      </c>
      <c r="N411" s="3">
        <v>7065769.1641250299</v>
      </c>
      <c r="O411" s="3">
        <v>3025752.7769414899</v>
      </c>
      <c r="P411" s="3">
        <v>3049326.5458290302</v>
      </c>
    </row>
    <row r="412" spans="1:16" x14ac:dyDescent="0.2">
      <c r="A412" s="1" t="s">
        <v>385</v>
      </c>
      <c r="B412" s="3">
        <v>0</v>
      </c>
      <c r="I412" s="3">
        <v>48954594.524819702</v>
      </c>
      <c r="J412" s="3">
        <v>45718753.901372999</v>
      </c>
      <c r="K412" s="3">
        <v>46283226.614848003</v>
      </c>
      <c r="L412" s="3">
        <v>35951450.582708403</v>
      </c>
      <c r="M412" s="3">
        <v>35002125.381298304</v>
      </c>
      <c r="N412" s="3">
        <v>42546609.556396</v>
      </c>
      <c r="O412" s="3">
        <v>21699838.199462201</v>
      </c>
      <c r="P412" s="3">
        <v>21697703.623567302</v>
      </c>
    </row>
    <row r="413" spans="1:16" x14ac:dyDescent="0.2">
      <c r="A413" s="1" t="s">
        <v>386</v>
      </c>
      <c r="B413" s="3">
        <v>0</v>
      </c>
      <c r="I413" s="3">
        <v>29350466.956999999</v>
      </c>
      <c r="J413" s="3">
        <v>24323324.572999999</v>
      </c>
      <c r="K413" s="3">
        <v>26083148.206</v>
      </c>
      <c r="L413" s="3">
        <v>22551823.817000002</v>
      </c>
      <c r="M413" s="3">
        <v>20766670.905000001</v>
      </c>
      <c r="N413" s="3">
        <v>25924253.488000002</v>
      </c>
      <c r="O413" s="3">
        <v>13281839.785</v>
      </c>
      <c r="P413" s="3">
        <v>12358412.463</v>
      </c>
    </row>
    <row r="415" spans="1:16" x14ac:dyDescent="0.2">
      <c r="A415" s="1" t="s">
        <v>210</v>
      </c>
      <c r="B415" s="3">
        <v>126706220.822731</v>
      </c>
      <c r="I415" s="3">
        <v>118551021.712584</v>
      </c>
      <c r="J415" s="3">
        <v>133481854.86672799</v>
      </c>
      <c r="K415" s="3">
        <v>151609659.43120301</v>
      </c>
      <c r="L415" s="3">
        <v>144731393.45715499</v>
      </c>
      <c r="M415" s="3">
        <v>128669274.46289</v>
      </c>
      <c r="N415" s="3">
        <v>143651292.531093</v>
      </c>
      <c r="O415" s="3">
        <v>160865393.90637299</v>
      </c>
      <c r="P415" s="3">
        <v>153601181.78004101</v>
      </c>
    </row>
    <row r="416" spans="1:16" x14ac:dyDescent="0.2">
      <c r="A416" s="1" t="s">
        <v>211</v>
      </c>
      <c r="B416" s="3">
        <v>0</v>
      </c>
      <c r="I416" s="3">
        <v>283516.00161576498</v>
      </c>
      <c r="J416" s="3">
        <v>628576.96647222096</v>
      </c>
      <c r="K416" s="3">
        <v>733114.77706649201</v>
      </c>
      <c r="L416" s="3">
        <v>693954.82699353003</v>
      </c>
      <c r="M416" s="3">
        <v>549534.29276934499</v>
      </c>
      <c r="N416" s="3">
        <v>310722.30796285701</v>
      </c>
      <c r="O416" s="3">
        <v>618840.67550208105</v>
      </c>
      <c r="P416" s="3">
        <v>808099.89619937597</v>
      </c>
    </row>
    <row r="417" spans="1:16" x14ac:dyDescent="0.2">
      <c r="A417" s="1" t="s">
        <v>212</v>
      </c>
      <c r="B417" s="3">
        <v>0</v>
      </c>
      <c r="I417" s="3">
        <v>40576.522105705699</v>
      </c>
      <c r="J417" s="3">
        <v>122227.680633725</v>
      </c>
      <c r="K417" s="3">
        <v>232254.500718253</v>
      </c>
      <c r="L417" s="3">
        <v>197695.413238601</v>
      </c>
      <c r="M417" s="3">
        <v>93026.117917412004</v>
      </c>
      <c r="N417" s="3">
        <v>207494.3771974</v>
      </c>
      <c r="O417" s="3">
        <v>333959.01144329202</v>
      </c>
      <c r="P417" s="3">
        <v>293644.41278488602</v>
      </c>
    </row>
    <row r="418" spans="1:16" x14ac:dyDescent="0.2">
      <c r="A418" s="1" t="s">
        <v>213</v>
      </c>
      <c r="B418" s="3">
        <v>0</v>
      </c>
      <c r="I418" s="3">
        <v>109446.52256537401</v>
      </c>
      <c r="J418" s="3">
        <v>111423.20154232001</v>
      </c>
      <c r="K418" s="3">
        <v>127093.370279818</v>
      </c>
      <c r="L418" s="3">
        <v>129049.473957001</v>
      </c>
      <c r="M418" s="3">
        <v>121101.65368888799</v>
      </c>
      <c r="N418" s="3">
        <v>139927.31892137401</v>
      </c>
      <c r="O418" s="3">
        <v>77651.972298440698</v>
      </c>
      <c r="P418" s="3">
        <v>74420.141432602104</v>
      </c>
    </row>
    <row r="419" spans="1:16" x14ac:dyDescent="0.2">
      <c r="A419" s="1" t="s">
        <v>214</v>
      </c>
      <c r="B419" s="3">
        <v>0</v>
      </c>
      <c r="I419" s="3">
        <v>107917.400052225</v>
      </c>
      <c r="J419" s="3">
        <v>107151.65493731</v>
      </c>
      <c r="K419" s="3">
        <v>108033.90778868701</v>
      </c>
      <c r="L419" s="3">
        <v>92034.763249264099</v>
      </c>
      <c r="M419" s="3">
        <v>99258.732595167996</v>
      </c>
      <c r="N419" s="3">
        <v>107688.759156859</v>
      </c>
      <c r="O419" s="3">
        <v>66567.005165832597</v>
      </c>
      <c r="P419" s="3">
        <v>65295.813456125303</v>
      </c>
    </row>
    <row r="420" spans="1:16" x14ac:dyDescent="0.2">
      <c r="A420" s="1" t="s">
        <v>215</v>
      </c>
      <c r="B420" s="3">
        <v>0</v>
      </c>
      <c r="I420" s="3">
        <v>1078824.9354801199</v>
      </c>
      <c r="J420" s="3">
        <v>1113317.1194982301</v>
      </c>
      <c r="K420" s="3">
        <v>1221984.5186264401</v>
      </c>
      <c r="L420" s="3">
        <v>1051332.27252783</v>
      </c>
      <c r="M420" s="3">
        <v>988158.77055128</v>
      </c>
      <c r="N420" s="3">
        <v>1068332.76235361</v>
      </c>
      <c r="O420" s="3">
        <v>630109.63696445106</v>
      </c>
      <c r="P420" s="3">
        <v>630589.01112479297</v>
      </c>
    </row>
    <row r="421" spans="1:16" x14ac:dyDescent="0.2">
      <c r="A421" s="1" t="s">
        <v>387</v>
      </c>
      <c r="B421" s="3">
        <v>0</v>
      </c>
      <c r="I421" s="3">
        <v>9841958.3359999992</v>
      </c>
      <c r="J421" s="3">
        <v>11116623.073999999</v>
      </c>
      <c r="K421" s="3">
        <v>12401592.203</v>
      </c>
      <c r="L421" s="3">
        <v>11875493.653000001</v>
      </c>
      <c r="M421" s="3">
        <v>10664285.132999999</v>
      </c>
      <c r="N421" s="3">
        <v>11559245.079</v>
      </c>
      <c r="O421" s="3">
        <v>6477867.9129999997</v>
      </c>
      <c r="P421" s="3">
        <v>6344384.5609999998</v>
      </c>
    </row>
    <row r="422" spans="1:16" x14ac:dyDescent="0.2">
      <c r="A422" s="1" t="s">
        <v>388</v>
      </c>
      <c r="B422" s="3">
        <v>0</v>
      </c>
      <c r="I422" s="3">
        <v>192763221.68119901</v>
      </c>
      <c r="J422" s="3">
        <v>221922223.46506399</v>
      </c>
      <c r="K422" s="3">
        <v>247348185.25761199</v>
      </c>
      <c r="L422" s="3">
        <v>238989446.32648799</v>
      </c>
      <c r="M422" s="3">
        <v>210672185.771597</v>
      </c>
      <c r="N422" s="3">
        <v>233653512.08036</v>
      </c>
      <c r="O422" s="3">
        <v>129869562.35904901</v>
      </c>
      <c r="P422" s="3">
        <v>125939443.658289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U422"/>
  <sheetViews>
    <sheetView workbookViewId="0">
      <pane xSplit="1" ySplit="1" topLeftCell="B121" activePane="bottomRight" state="frozen"/>
      <selection pane="topRight" activeCell="B1" sqref="B1"/>
      <selection pane="bottomLeft" activeCell="A2" sqref="A2"/>
      <selection pane="bottomRight" sqref="A1:XFD1048576"/>
    </sheetView>
  </sheetViews>
  <sheetFormatPr baseColWidth="10" defaultColWidth="9" defaultRowHeight="15" x14ac:dyDescent="0.2"/>
  <cols>
    <col min="1" max="1" width="27.83203125" customWidth="1"/>
    <col min="2" max="7" width="10.6640625" customWidth="1"/>
    <col min="8" max="8" width="16.5" customWidth="1"/>
    <col min="9" max="14" width="10.6640625" customWidth="1"/>
    <col min="15" max="15" width="16.5" customWidth="1"/>
    <col min="16" max="17" width="8.83203125" customWidth="1"/>
    <col min="19" max="19" width="9" style="7"/>
    <col min="21" max="21" width="9" style="7"/>
  </cols>
  <sheetData>
    <row r="1" spans="1:21" s="5" customFormat="1" ht="31" x14ac:dyDescent="0.2">
      <c r="A1" s="4" t="s">
        <v>0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1" t="s">
        <v>369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1" t="s">
        <v>369</v>
      </c>
      <c r="P1" s="4" t="s">
        <v>14</v>
      </c>
      <c r="Q1" s="4" t="s">
        <v>15</v>
      </c>
      <c r="S1" s="8"/>
      <c r="U1" s="8"/>
    </row>
    <row r="2" spans="1:21" x14ac:dyDescent="0.2">
      <c r="A2" s="1" t="s">
        <v>16</v>
      </c>
      <c r="B2" s="2">
        <v>0.52804226027647705</v>
      </c>
      <c r="C2" s="2">
        <v>0.49179083347496699</v>
      </c>
      <c r="D2" s="2">
        <v>0.61560596866737505</v>
      </c>
      <c r="E2" s="2">
        <v>0.59920086135054496</v>
      </c>
      <c r="F2" s="2">
        <v>0.53552790973116304</v>
      </c>
      <c r="G2" s="2">
        <v>0.54823617384762402</v>
      </c>
      <c r="H2" s="6">
        <f>TTEST(B2:D2,E2:G2,2,2)</f>
        <v>0.72259498182276438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6" t="s">
        <v>370</v>
      </c>
      <c r="P2" s="2">
        <v>0.82228484443691396</v>
      </c>
      <c r="Q2" s="2">
        <v>0.81153979197103399</v>
      </c>
    </row>
    <row r="3" spans="1:21" x14ac:dyDescent="0.2">
      <c r="A3" s="1" t="s">
        <v>17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6" t="s">
        <v>370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6" t="s">
        <v>370</v>
      </c>
      <c r="P3" s="2">
        <v>0</v>
      </c>
      <c r="Q3" s="2">
        <v>0</v>
      </c>
    </row>
    <row r="4" spans="1:21" x14ac:dyDescent="0.2">
      <c r="A4" s="1" t="s">
        <v>18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6" t="s">
        <v>370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6" t="s">
        <v>370</v>
      </c>
      <c r="P4" s="2">
        <v>0</v>
      </c>
      <c r="Q4" s="2">
        <v>0</v>
      </c>
    </row>
    <row r="5" spans="1:21" x14ac:dyDescent="0.2">
      <c r="A5" s="1" t="s">
        <v>19</v>
      </c>
      <c r="B5" s="2">
        <v>0.47195773972352301</v>
      </c>
      <c r="C5" s="2">
        <v>0.50820916652503301</v>
      </c>
      <c r="D5" s="2">
        <v>0.38439403133262501</v>
      </c>
      <c r="E5" s="2">
        <v>0.40079913864945499</v>
      </c>
      <c r="F5" s="2">
        <v>0.46447209026883701</v>
      </c>
      <c r="G5" s="2">
        <v>0.45176382615237598</v>
      </c>
      <c r="H5" s="6">
        <f t="shared" ref="H5:H66" si="0">TTEST(B5:D5,E5:G5,2,2)</f>
        <v>0.7225949818227615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6" t="s">
        <v>370</v>
      </c>
      <c r="P5" s="2">
        <v>0.17771515556308601</v>
      </c>
      <c r="Q5" s="2">
        <v>0.18846020802896599</v>
      </c>
    </row>
    <row r="6" spans="1:21" x14ac:dyDescent="0.2">
      <c r="H6" s="6" t="s">
        <v>370</v>
      </c>
      <c r="O6" s="6" t="s">
        <v>370</v>
      </c>
    </row>
    <row r="7" spans="1:21" x14ac:dyDescent="0.2">
      <c r="A7" s="1" t="s">
        <v>20</v>
      </c>
      <c r="B7" s="2">
        <v>0.97727538270315795</v>
      </c>
      <c r="C7" s="2">
        <v>0.97421092430636802</v>
      </c>
      <c r="D7" s="2">
        <v>0.97583800821782296</v>
      </c>
      <c r="E7" s="2">
        <v>0.96852530144350701</v>
      </c>
      <c r="F7" s="2">
        <v>0.97486452747607699</v>
      </c>
      <c r="G7" s="2">
        <v>0.969791280341884</v>
      </c>
      <c r="H7" s="6">
        <f t="shared" si="0"/>
        <v>9.1240512144173919E-2</v>
      </c>
      <c r="I7" s="2">
        <v>0.71978934290655805</v>
      </c>
      <c r="J7" s="2">
        <v>0.75169171555247405</v>
      </c>
      <c r="K7" s="2">
        <v>0.74956179118575395</v>
      </c>
      <c r="L7" s="2">
        <v>0.78557413209472604</v>
      </c>
      <c r="M7" s="2">
        <v>0.75327352167157202</v>
      </c>
      <c r="N7" s="2">
        <v>0.78113523138813201</v>
      </c>
      <c r="O7" s="6">
        <f t="shared" ref="O7:O68" si="1">TTEST(I7:K7,L7:N7,2,2)</f>
        <v>8.4271105607565885E-2</v>
      </c>
      <c r="P7" s="2">
        <v>0.85563914063760005</v>
      </c>
      <c r="Q7" s="2">
        <v>0.85436906818642899</v>
      </c>
    </row>
    <row r="8" spans="1:21" x14ac:dyDescent="0.2">
      <c r="A8" s="1" t="s">
        <v>21</v>
      </c>
      <c r="B8" s="2">
        <v>0</v>
      </c>
      <c r="C8" s="2">
        <v>0</v>
      </c>
      <c r="D8" s="2">
        <v>3.2132231188282002E-3</v>
      </c>
      <c r="E8" s="2">
        <v>3.1645645453371699E-3</v>
      </c>
      <c r="F8" s="2">
        <v>0</v>
      </c>
      <c r="G8" s="2">
        <v>0</v>
      </c>
      <c r="H8" s="6">
        <f t="shared" si="0"/>
        <v>0.99190825093425017</v>
      </c>
      <c r="I8" s="2">
        <v>3.6465978821665999E-3</v>
      </c>
      <c r="J8" s="2">
        <v>0</v>
      </c>
      <c r="K8" s="2">
        <v>2.0835435150625401E-3</v>
      </c>
      <c r="L8" s="2">
        <v>0</v>
      </c>
      <c r="M8" s="2">
        <v>0</v>
      </c>
      <c r="N8" s="2">
        <v>0</v>
      </c>
      <c r="O8" s="6">
        <f t="shared" si="1"/>
        <v>0.1448285848812764</v>
      </c>
      <c r="P8" s="2">
        <v>2.95051634176319E-3</v>
      </c>
      <c r="Q8" s="2">
        <v>2.5332393353029699E-3</v>
      </c>
    </row>
    <row r="9" spans="1:21" x14ac:dyDescent="0.2">
      <c r="A9" s="1" t="s">
        <v>22</v>
      </c>
      <c r="B9" s="2">
        <v>2.27246172968418E-2</v>
      </c>
      <c r="C9" s="2">
        <v>2.57890756936324E-2</v>
      </c>
      <c r="D9" s="2">
        <v>2.0948768663349399E-2</v>
      </c>
      <c r="E9" s="2">
        <v>2.83101340111554E-2</v>
      </c>
      <c r="F9" s="2">
        <v>2.5135472523923501E-2</v>
      </c>
      <c r="G9" s="2">
        <v>2.8573244088529799E-2</v>
      </c>
      <c r="H9" s="6">
        <f t="shared" si="0"/>
        <v>7.9998634035699595E-2</v>
      </c>
      <c r="I9" s="2">
        <v>1.12378955178989E-2</v>
      </c>
      <c r="J9" s="2">
        <v>8.4521410452450506E-3</v>
      </c>
      <c r="K9" s="2">
        <v>5.3414310761031904E-3</v>
      </c>
      <c r="L9" s="2">
        <v>3.6773475414746798E-3</v>
      </c>
      <c r="M9" s="2">
        <v>1.2896290993336701E-2</v>
      </c>
      <c r="N9" s="2">
        <v>6.4514045300692897E-3</v>
      </c>
      <c r="O9" s="6">
        <f t="shared" si="1"/>
        <v>0.84552271860187211</v>
      </c>
      <c r="P9" s="2">
        <v>1.6076351065514801E-2</v>
      </c>
      <c r="Q9" s="2">
        <v>1.7817005311647701E-2</v>
      </c>
    </row>
    <row r="10" spans="1:21" x14ac:dyDescent="0.2">
      <c r="A10" s="1" t="s">
        <v>23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1.6354755695861399E-3</v>
      </c>
      <c r="H10" s="6">
        <f t="shared" si="0"/>
        <v>0.37390096630005903</v>
      </c>
      <c r="I10" s="2">
        <v>2.9345245023946202E-2</v>
      </c>
      <c r="J10" s="2">
        <v>3.3087599114832202E-2</v>
      </c>
      <c r="K10" s="2">
        <v>3.0126240174311699E-2</v>
      </c>
      <c r="L10" s="2">
        <v>3.2576324598503299E-2</v>
      </c>
      <c r="M10" s="2">
        <v>3.3945555269868803E-2</v>
      </c>
      <c r="N10" s="2">
        <v>3.1347855567954303E-2</v>
      </c>
      <c r="O10" s="6">
        <f t="shared" si="1"/>
        <v>0.26430018292848351</v>
      </c>
      <c r="P10" s="2">
        <v>1.8770521237430698E-2</v>
      </c>
      <c r="Q10" s="2">
        <v>1.49526568939162E-2</v>
      </c>
    </row>
    <row r="11" spans="1:21" x14ac:dyDescent="0.2">
      <c r="A11" s="1" t="s">
        <v>24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6" t="s">
        <v>370</v>
      </c>
      <c r="I11" s="2">
        <v>1.3648707168350401E-2</v>
      </c>
      <c r="J11" s="2">
        <v>1.0966221355722099E-2</v>
      </c>
      <c r="K11" s="2">
        <v>7.5819917043896904E-3</v>
      </c>
      <c r="L11" s="2">
        <v>6.0249413401906298E-3</v>
      </c>
      <c r="M11" s="2">
        <v>8.9613476870188599E-3</v>
      </c>
      <c r="N11" s="2">
        <v>8.1107494300937406E-3</v>
      </c>
      <c r="O11" s="6">
        <f t="shared" si="1"/>
        <v>0.19663489872839804</v>
      </c>
      <c r="P11" s="2">
        <v>5.1935403244454496E-3</v>
      </c>
      <c r="Q11" s="2">
        <v>7.3674117152520702E-3</v>
      </c>
    </row>
    <row r="12" spans="1:21" x14ac:dyDescent="0.2">
      <c r="A12" s="1" t="s">
        <v>25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6" t="s">
        <v>370</v>
      </c>
      <c r="I12" s="2">
        <v>0.22233221150108001</v>
      </c>
      <c r="J12" s="2">
        <v>0.195802322931727</v>
      </c>
      <c r="K12" s="2">
        <v>0.20530500234437901</v>
      </c>
      <c r="L12" s="2">
        <v>0.17214725442510601</v>
      </c>
      <c r="M12" s="2">
        <v>0.19092328437820399</v>
      </c>
      <c r="N12" s="2">
        <v>0.17295475908375099</v>
      </c>
      <c r="O12" s="6">
        <f t="shared" si="1"/>
        <v>4.2110191973738074E-2</v>
      </c>
      <c r="P12" s="2">
        <v>0.101369930393246</v>
      </c>
      <c r="Q12" s="2">
        <v>0.102960618557452</v>
      </c>
    </row>
    <row r="13" spans="1:21" x14ac:dyDescent="0.2">
      <c r="H13" s="6" t="s">
        <v>370</v>
      </c>
      <c r="O13" s="6" t="s">
        <v>370</v>
      </c>
    </row>
    <row r="14" spans="1:21" x14ac:dyDescent="0.2">
      <c r="A14" s="1" t="s">
        <v>26</v>
      </c>
      <c r="B14" s="2">
        <v>0.459785192915937</v>
      </c>
      <c r="C14" s="2">
        <v>0.47333487176225703</v>
      </c>
      <c r="D14" s="2">
        <v>0.46448781820038798</v>
      </c>
      <c r="E14" s="2">
        <v>0.45920396648760797</v>
      </c>
      <c r="F14" s="2">
        <v>0.42430424496706098</v>
      </c>
      <c r="G14" s="2">
        <v>0.47979213188967101</v>
      </c>
      <c r="H14" s="6">
        <f t="shared" si="0"/>
        <v>0.53050770379499979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>
        <v>0.99172272634306302</v>
      </c>
      <c r="O14" s="6">
        <f t="shared" si="1"/>
        <v>0.37390096630007613</v>
      </c>
      <c r="P14" s="2">
        <v>0.72426002094085296</v>
      </c>
      <c r="Q14" s="2">
        <v>0.70559602392151</v>
      </c>
    </row>
    <row r="15" spans="1:21" x14ac:dyDescent="0.2">
      <c r="A15" s="1" t="s">
        <v>27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6" t="s">
        <v>370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8.2772736569369197E-3</v>
      </c>
      <c r="O15" s="6">
        <f t="shared" si="1"/>
        <v>0.37390096630005903</v>
      </c>
      <c r="P15" s="2">
        <v>0</v>
      </c>
      <c r="Q15" s="2">
        <v>0</v>
      </c>
    </row>
    <row r="16" spans="1:21" x14ac:dyDescent="0.2">
      <c r="A16" s="1" t="s">
        <v>28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6" t="s">
        <v>370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6" t="s">
        <v>370</v>
      </c>
      <c r="P16" s="2">
        <v>0</v>
      </c>
      <c r="Q16" s="2">
        <v>0</v>
      </c>
    </row>
    <row r="17" spans="1:17" x14ac:dyDescent="0.2">
      <c r="A17" s="1" t="s">
        <v>29</v>
      </c>
      <c r="B17" s="2">
        <v>0.540214807084063</v>
      </c>
      <c r="C17" s="2">
        <v>0.52666512823774303</v>
      </c>
      <c r="D17" s="2">
        <v>0.53551218179961202</v>
      </c>
      <c r="E17" s="2">
        <v>0.54079603351239203</v>
      </c>
      <c r="F17" s="2">
        <v>0.57569575503293902</v>
      </c>
      <c r="G17" s="2">
        <v>0.52020786811032904</v>
      </c>
      <c r="H17" s="6">
        <f t="shared" si="0"/>
        <v>0.53050770379499357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6" t="s">
        <v>370</v>
      </c>
      <c r="P17" s="2">
        <v>0.27573997905914699</v>
      </c>
      <c r="Q17" s="2">
        <v>0.29440397607849</v>
      </c>
    </row>
    <row r="18" spans="1:17" x14ac:dyDescent="0.2">
      <c r="H18" s="6" t="s">
        <v>370</v>
      </c>
      <c r="O18" s="6" t="s">
        <v>370</v>
      </c>
    </row>
    <row r="19" spans="1:17" x14ac:dyDescent="0.2">
      <c r="A19" s="1" t="s">
        <v>30</v>
      </c>
      <c r="B19" s="2">
        <v>0.29527245388755402</v>
      </c>
      <c r="C19" s="2">
        <v>0.30397849403397997</v>
      </c>
      <c r="D19" s="2">
        <v>0.26606820134114501</v>
      </c>
      <c r="E19" s="2">
        <v>0.29466921465926899</v>
      </c>
      <c r="F19" s="2">
        <v>0.26581779741088601</v>
      </c>
      <c r="G19" s="2">
        <v>0.30198542996075101</v>
      </c>
      <c r="H19" s="6">
        <f t="shared" si="0"/>
        <v>0.95531931039658669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>
        <v>1</v>
      </c>
      <c r="O19" s="6" t="s">
        <v>370</v>
      </c>
      <c r="P19" s="2">
        <v>1</v>
      </c>
      <c r="Q19" s="2">
        <v>1</v>
      </c>
    </row>
    <row r="20" spans="1:17" x14ac:dyDescent="0.2">
      <c r="A20" s="1" t="s">
        <v>31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6" t="s">
        <v>370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6" t="s">
        <v>370</v>
      </c>
      <c r="P20" s="2">
        <v>0</v>
      </c>
      <c r="Q20" s="2">
        <v>0</v>
      </c>
    </row>
    <row r="21" spans="1:17" x14ac:dyDescent="0.2">
      <c r="A21" s="1" t="s">
        <v>32</v>
      </c>
      <c r="B21" s="2">
        <v>0.202760941577903</v>
      </c>
      <c r="C21" s="2">
        <v>0.24683601053420501</v>
      </c>
      <c r="D21" s="2">
        <v>0.216317094726658</v>
      </c>
      <c r="E21" s="2">
        <v>0.23410491370523701</v>
      </c>
      <c r="F21" s="2">
        <v>0.27571128025618202</v>
      </c>
      <c r="G21" s="2">
        <v>0.25145844871523698</v>
      </c>
      <c r="H21" s="6">
        <f t="shared" si="0"/>
        <v>0.14800402301815505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6" t="s">
        <v>370</v>
      </c>
      <c r="P21" s="2">
        <v>0</v>
      </c>
      <c r="Q21" s="2">
        <v>0</v>
      </c>
    </row>
    <row r="22" spans="1:17" x14ac:dyDescent="0.2">
      <c r="A22" s="1" t="s">
        <v>33</v>
      </c>
      <c r="B22" s="2">
        <v>0.22342346109847699</v>
      </c>
      <c r="C22" s="2">
        <v>0.19826757099432399</v>
      </c>
      <c r="D22" s="2">
        <v>0.213398825569521</v>
      </c>
      <c r="E22" s="2">
        <v>0.16544149958613999</v>
      </c>
      <c r="F22" s="2">
        <v>0.216334256864746</v>
      </c>
      <c r="G22" s="2">
        <v>0.178152831261955</v>
      </c>
      <c r="H22" s="6">
        <f t="shared" si="0"/>
        <v>0.2134645580779464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6" t="s">
        <v>370</v>
      </c>
      <c r="P22" s="2">
        <v>0</v>
      </c>
      <c r="Q22" s="2">
        <v>0</v>
      </c>
    </row>
    <row r="23" spans="1:17" x14ac:dyDescent="0.2">
      <c r="A23" s="1" t="s">
        <v>34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6" t="s">
        <v>370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6" t="s">
        <v>370</v>
      </c>
      <c r="P23" s="2">
        <v>0</v>
      </c>
      <c r="Q23" s="2">
        <v>0</v>
      </c>
    </row>
    <row r="24" spans="1:17" x14ac:dyDescent="0.2">
      <c r="A24" s="1" t="s">
        <v>35</v>
      </c>
      <c r="B24" s="2">
        <v>0.27854314343606501</v>
      </c>
      <c r="C24" s="2">
        <v>0.250917924437491</v>
      </c>
      <c r="D24" s="2">
        <v>0.304215878362675</v>
      </c>
      <c r="E24" s="2">
        <v>0.30578437204935299</v>
      </c>
      <c r="F24" s="2">
        <v>0.24213666546818599</v>
      </c>
      <c r="G24" s="2">
        <v>0.26840329006205599</v>
      </c>
      <c r="H24" s="6">
        <f t="shared" si="0"/>
        <v>0.82167678187859161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6" t="s">
        <v>370</v>
      </c>
      <c r="P24" s="2">
        <v>0</v>
      </c>
      <c r="Q24" s="2">
        <v>0</v>
      </c>
    </row>
    <row r="25" spans="1:17" x14ac:dyDescent="0.2">
      <c r="H25" s="6" t="s">
        <v>370</v>
      </c>
      <c r="O25" s="6" t="s">
        <v>370</v>
      </c>
    </row>
    <row r="26" spans="1:17" x14ac:dyDescent="0.2">
      <c r="A26" s="1" t="s">
        <v>36</v>
      </c>
      <c r="B26" s="2">
        <v>0.49264062833188199</v>
      </c>
      <c r="C26" s="2">
        <v>0.48787735325938297</v>
      </c>
      <c r="D26" s="2">
        <v>0.50229862716894103</v>
      </c>
      <c r="E26" s="2">
        <v>0.52332990804899204</v>
      </c>
      <c r="F26" s="2">
        <v>0.59392122321680596</v>
      </c>
      <c r="G26" s="2">
        <v>0.53212347841975505</v>
      </c>
      <c r="H26" s="6">
        <f t="shared" si="0"/>
        <v>7.0043439925568274E-2</v>
      </c>
      <c r="I26" s="2">
        <v>0.99957360675386597</v>
      </c>
      <c r="J26" s="2">
        <v>1</v>
      </c>
      <c r="K26" s="2">
        <v>0.99024371934316902</v>
      </c>
      <c r="L26" s="2">
        <v>0.97238162608343504</v>
      </c>
      <c r="M26" s="2">
        <v>1</v>
      </c>
      <c r="N26" s="2">
        <v>0.98985650908120504</v>
      </c>
      <c r="O26" s="6" t="s">
        <v>370</v>
      </c>
      <c r="P26" s="2">
        <v>0.75101154881073595</v>
      </c>
      <c r="Q26" s="2">
        <v>0.77714992029984198</v>
      </c>
    </row>
    <row r="27" spans="1:17" x14ac:dyDescent="0.2">
      <c r="A27" s="1" t="s">
        <v>37</v>
      </c>
      <c r="B27" s="2">
        <v>8.8392757995030494E-3</v>
      </c>
      <c r="C27" s="2">
        <v>0</v>
      </c>
      <c r="D27" s="2">
        <v>0</v>
      </c>
      <c r="E27" s="2">
        <v>0</v>
      </c>
      <c r="F27" s="2">
        <v>0</v>
      </c>
      <c r="G27" s="2">
        <v>1.26444118960583E-2</v>
      </c>
      <c r="H27" s="6">
        <f t="shared" si="0"/>
        <v>0.81732520508281137</v>
      </c>
      <c r="I27" s="2">
        <v>4.2639324613368701E-4</v>
      </c>
      <c r="J27" s="2">
        <v>0</v>
      </c>
      <c r="K27" s="2">
        <v>9.7562806568313107E-3</v>
      </c>
      <c r="L27" s="2">
        <v>2.7618373916564899E-2</v>
      </c>
      <c r="M27" s="2">
        <v>0</v>
      </c>
      <c r="N27" s="2">
        <v>6.9508571244931098E-3</v>
      </c>
      <c r="O27" s="6" t="s">
        <v>370</v>
      </c>
      <c r="P27" s="2">
        <v>1.6896277807076501E-2</v>
      </c>
      <c r="Q27" s="2">
        <v>2.37572478883059E-2</v>
      </c>
    </row>
    <row r="28" spans="1:17" x14ac:dyDescent="0.2">
      <c r="A28" s="1" t="s">
        <v>38</v>
      </c>
      <c r="B28" s="2">
        <v>0</v>
      </c>
      <c r="C28" s="2">
        <v>1.46041196294026E-2</v>
      </c>
      <c r="D28" s="2">
        <v>5.0317655809983099E-3</v>
      </c>
      <c r="E28" s="2">
        <v>0</v>
      </c>
      <c r="F28" s="2">
        <v>0</v>
      </c>
      <c r="G28" s="2">
        <v>0</v>
      </c>
      <c r="H28" s="6">
        <f t="shared" si="0"/>
        <v>0.20120433804314097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3.1926337943021499E-3</v>
      </c>
      <c r="O28" s="6" t="s">
        <v>370</v>
      </c>
      <c r="P28" s="2">
        <v>6.3841392554558002E-3</v>
      </c>
      <c r="Q28" s="2">
        <v>0</v>
      </c>
    </row>
    <row r="29" spans="1:17" x14ac:dyDescent="0.2">
      <c r="A29" s="1" t="s">
        <v>39</v>
      </c>
      <c r="B29" s="2">
        <v>1.7655511828482399E-2</v>
      </c>
      <c r="C29" s="2">
        <v>2.28514575356265E-2</v>
      </c>
      <c r="D29" s="2">
        <v>2.2684422271844602E-2</v>
      </c>
      <c r="E29" s="2">
        <v>2.6101496020219501E-2</v>
      </c>
      <c r="F29" s="2">
        <v>0</v>
      </c>
      <c r="G29" s="2">
        <v>2.1085659031567401E-2</v>
      </c>
      <c r="H29" s="6">
        <f t="shared" si="0"/>
        <v>0.54970359695930116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6" t="s">
        <v>370</v>
      </c>
      <c r="P29" s="2">
        <v>0</v>
      </c>
      <c r="Q29" s="2">
        <v>0</v>
      </c>
    </row>
    <row r="30" spans="1:17" x14ac:dyDescent="0.2">
      <c r="A30" s="1" t="s">
        <v>40</v>
      </c>
      <c r="B30" s="2">
        <v>0</v>
      </c>
      <c r="C30" s="2">
        <v>4.8620787888548397E-3</v>
      </c>
      <c r="D30" s="2">
        <v>0</v>
      </c>
      <c r="E30" s="2">
        <v>0</v>
      </c>
      <c r="F30" s="2">
        <v>0</v>
      </c>
      <c r="G30" s="2">
        <v>0</v>
      </c>
      <c r="H30" s="6">
        <f t="shared" si="0"/>
        <v>0.37390096630005903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6" t="s">
        <v>370</v>
      </c>
      <c r="P30" s="2">
        <v>0</v>
      </c>
      <c r="Q30" s="2">
        <v>0</v>
      </c>
    </row>
    <row r="31" spans="1:17" x14ac:dyDescent="0.2">
      <c r="A31" s="1" t="s">
        <v>41</v>
      </c>
      <c r="B31" s="2">
        <v>3.6137786414335397E-2</v>
      </c>
      <c r="C31" s="2">
        <v>4.0667344317470502E-2</v>
      </c>
      <c r="D31" s="2">
        <v>2.8864522618465199E-2</v>
      </c>
      <c r="E31" s="2">
        <v>4.1376180239586897E-2</v>
      </c>
      <c r="F31" s="2">
        <v>4.0229273555350199E-2</v>
      </c>
      <c r="G31" s="2">
        <v>3.1437388167017903E-2</v>
      </c>
      <c r="H31" s="6">
        <f t="shared" si="0"/>
        <v>0.62548013291526039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6" t="s">
        <v>370</v>
      </c>
      <c r="P31" s="2">
        <v>1.34411572510573E-2</v>
      </c>
      <c r="Q31" s="2">
        <v>1.9108315123252999E-2</v>
      </c>
    </row>
    <row r="32" spans="1:17" x14ac:dyDescent="0.2">
      <c r="A32" s="1" t="s">
        <v>42</v>
      </c>
      <c r="B32" s="2">
        <v>0.44472679762579698</v>
      </c>
      <c r="C32" s="2">
        <v>0.429137646469263</v>
      </c>
      <c r="D32" s="2">
        <v>0.441120662359751</v>
      </c>
      <c r="E32" s="2">
        <v>0.40919241569120202</v>
      </c>
      <c r="F32" s="2">
        <v>0.36584950322784399</v>
      </c>
      <c r="G32" s="2">
        <v>0.40270906248560101</v>
      </c>
      <c r="H32" s="6">
        <f t="shared" si="0"/>
        <v>3.2908003030137731E-2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6" t="s">
        <v>370</v>
      </c>
      <c r="P32" s="2">
        <v>0.212266876875674</v>
      </c>
      <c r="Q32" s="2">
        <v>0.17998451668859899</v>
      </c>
    </row>
    <row r="33" spans="1:17" x14ac:dyDescent="0.2">
      <c r="H33" s="6" t="s">
        <v>370</v>
      </c>
      <c r="O33" s="6" t="s">
        <v>370</v>
      </c>
    </row>
    <row r="34" spans="1:17" x14ac:dyDescent="0.2">
      <c r="A34" s="1" t="s">
        <v>43</v>
      </c>
      <c r="B34" s="2">
        <v>0.97016831753938804</v>
      </c>
      <c r="C34" s="2">
        <v>0.95901064840513806</v>
      </c>
      <c r="D34" s="2">
        <v>0.97064666823205104</v>
      </c>
      <c r="E34" s="2">
        <v>0.92565846736255797</v>
      </c>
      <c r="F34" s="2">
        <v>0.94978177145137899</v>
      </c>
      <c r="G34" s="2">
        <v>0.96673284345995802</v>
      </c>
      <c r="H34" s="6">
        <f t="shared" si="0"/>
        <v>0.19926841980084881</v>
      </c>
      <c r="I34" s="2">
        <v>0.57059230852952103</v>
      </c>
      <c r="J34" s="2">
        <v>0.61110781424440597</v>
      </c>
      <c r="K34" s="2">
        <v>0.60117046274542396</v>
      </c>
      <c r="L34" s="2">
        <v>0.65389034203878305</v>
      </c>
      <c r="M34" s="2">
        <v>0.645949582359297</v>
      </c>
      <c r="N34" s="2">
        <v>0.63310696771337305</v>
      </c>
      <c r="O34" s="6">
        <f t="shared" si="1"/>
        <v>2.1296090342494273E-2</v>
      </c>
      <c r="P34" s="2">
        <v>0.74269804869205902</v>
      </c>
      <c r="Q34" s="2">
        <v>0.75170060802272098</v>
      </c>
    </row>
    <row r="35" spans="1:17" x14ac:dyDescent="0.2">
      <c r="A35" s="1" t="s">
        <v>44</v>
      </c>
      <c r="B35" s="2">
        <v>0</v>
      </c>
      <c r="C35" s="2">
        <v>0</v>
      </c>
      <c r="D35" s="2">
        <v>0</v>
      </c>
      <c r="E35" s="2">
        <v>6.1526980904303696E-3</v>
      </c>
      <c r="F35" s="2">
        <v>0</v>
      </c>
      <c r="G35" s="2">
        <v>0</v>
      </c>
      <c r="H35" s="6">
        <f t="shared" si="0"/>
        <v>0.37390096630005903</v>
      </c>
      <c r="I35" s="2">
        <v>0</v>
      </c>
      <c r="J35" s="2">
        <v>0</v>
      </c>
      <c r="K35" s="2">
        <v>1.15846519572057E-3</v>
      </c>
      <c r="L35" s="2">
        <v>0</v>
      </c>
      <c r="M35" s="2">
        <v>0</v>
      </c>
      <c r="N35" s="2">
        <v>5.1194420374871502E-4</v>
      </c>
      <c r="O35" s="6">
        <f t="shared" si="1"/>
        <v>0.6366080609787238</v>
      </c>
      <c r="P35" s="2">
        <v>9.0059202117371302E-3</v>
      </c>
      <c r="Q35" s="2">
        <v>5.0177937413709104E-3</v>
      </c>
    </row>
    <row r="36" spans="1:17" x14ac:dyDescent="0.2">
      <c r="A36" s="1" t="s">
        <v>45</v>
      </c>
      <c r="B36" s="2">
        <v>2.9831682460612099E-2</v>
      </c>
      <c r="C36" s="2">
        <v>3.9910048012594297E-2</v>
      </c>
      <c r="D36" s="2">
        <v>2.7887116745749001E-2</v>
      </c>
      <c r="E36" s="2">
        <v>6.1382840153570803E-2</v>
      </c>
      <c r="F36" s="2">
        <v>5.0218228548621298E-2</v>
      </c>
      <c r="G36" s="2">
        <v>3.3267156540042302E-2</v>
      </c>
      <c r="H36" s="6">
        <f t="shared" si="0"/>
        <v>0.1544766579640085</v>
      </c>
      <c r="I36" s="2">
        <v>1.3410059247925E-2</v>
      </c>
      <c r="J36" s="2">
        <v>1.01252716408097E-2</v>
      </c>
      <c r="K36" s="2">
        <v>7.9842945139661208E-3</v>
      </c>
      <c r="L36" s="2">
        <v>1.0131441630966499E-2</v>
      </c>
      <c r="M36" s="2">
        <v>6.4067639080269499E-3</v>
      </c>
      <c r="N36" s="2">
        <v>4.7399761807852096E-3</v>
      </c>
      <c r="O36" s="6">
        <f t="shared" si="1"/>
        <v>0.20261308089965402</v>
      </c>
      <c r="P36" s="2">
        <v>2.6699046363215601E-2</v>
      </c>
      <c r="Q36" s="2">
        <v>2.2698358391033301E-2</v>
      </c>
    </row>
    <row r="37" spans="1:17" x14ac:dyDescent="0.2">
      <c r="A37" s="1" t="s">
        <v>46</v>
      </c>
      <c r="B37" s="2">
        <v>0</v>
      </c>
      <c r="C37" s="2">
        <v>1.0793035822672099E-3</v>
      </c>
      <c r="D37" s="2">
        <v>1.4662150222000401E-3</v>
      </c>
      <c r="E37" s="2">
        <v>1.90166444217471E-3</v>
      </c>
      <c r="F37" s="2">
        <v>0</v>
      </c>
      <c r="G37" s="2">
        <v>0</v>
      </c>
      <c r="H37" s="6">
        <f t="shared" si="0"/>
        <v>0.79450364972912146</v>
      </c>
      <c r="I37" s="2">
        <v>6.0390975128453803E-2</v>
      </c>
      <c r="J37" s="2">
        <v>4.3410900087178197E-2</v>
      </c>
      <c r="K37" s="2">
        <v>4.4450690183431001E-2</v>
      </c>
      <c r="L37" s="2">
        <v>7.5816044434106306E-2</v>
      </c>
      <c r="M37" s="2">
        <v>7.2442474845428401E-2</v>
      </c>
      <c r="N37" s="2">
        <v>7.4332086646494405E-2</v>
      </c>
      <c r="O37" s="6">
        <f t="shared" si="1"/>
        <v>1.1334222017847409E-2</v>
      </c>
      <c r="P37" s="2">
        <v>4.6183785349376401E-2</v>
      </c>
      <c r="Q37" s="2">
        <v>3.7820741662518698E-2</v>
      </c>
    </row>
    <row r="38" spans="1:17" x14ac:dyDescent="0.2">
      <c r="A38" s="1" t="s">
        <v>47</v>
      </c>
      <c r="B38" s="2">
        <v>0</v>
      </c>
      <c r="C38" s="2">
        <v>0</v>
      </c>
      <c r="D38" s="2">
        <v>0</v>
      </c>
      <c r="E38" s="2">
        <v>4.9043299512663199E-3</v>
      </c>
      <c r="F38" s="2">
        <v>0</v>
      </c>
      <c r="G38" s="2">
        <v>0</v>
      </c>
      <c r="H38" s="6">
        <f t="shared" si="0"/>
        <v>0.37390096630005903</v>
      </c>
      <c r="I38" s="2">
        <v>1.0874333468116599E-2</v>
      </c>
      <c r="J38" s="2">
        <v>1.0141928830913799E-2</v>
      </c>
      <c r="K38" s="2">
        <v>1.22950188728095E-2</v>
      </c>
      <c r="L38" s="2">
        <v>6.3828265744545797E-3</v>
      </c>
      <c r="M38" s="2">
        <v>4.58158397412399E-3</v>
      </c>
      <c r="N38" s="2">
        <v>9.1593301305000607E-3</v>
      </c>
      <c r="O38" s="6">
        <f t="shared" si="1"/>
        <v>4.0635142256644122E-2</v>
      </c>
      <c r="P38" s="2">
        <v>2.9246890776943599E-3</v>
      </c>
      <c r="Q38" s="2">
        <v>5.1498028673633602E-3</v>
      </c>
    </row>
    <row r="39" spans="1:17" x14ac:dyDescent="0.2">
      <c r="A39" s="1" t="s">
        <v>48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6" t="s">
        <v>370</v>
      </c>
      <c r="I39" s="2">
        <v>0.34473232362598399</v>
      </c>
      <c r="J39" s="2">
        <v>0.32521408519669198</v>
      </c>
      <c r="K39" s="2">
        <v>0.33294106848864902</v>
      </c>
      <c r="L39" s="2">
        <v>0.253779345321689</v>
      </c>
      <c r="M39" s="2">
        <v>0.27061959491312398</v>
      </c>
      <c r="N39" s="2">
        <v>0.27814969512509802</v>
      </c>
      <c r="O39" s="6">
        <f t="shared" si="1"/>
        <v>1.8902026455973929E-3</v>
      </c>
      <c r="P39" s="2">
        <v>0.172488510305917</v>
      </c>
      <c r="Q39" s="2">
        <v>0.17761269531499299</v>
      </c>
    </row>
    <row r="40" spans="1:17" x14ac:dyDescent="0.2">
      <c r="H40" s="6" t="s">
        <v>370</v>
      </c>
      <c r="O40" s="6" t="s">
        <v>370</v>
      </c>
    </row>
    <row r="41" spans="1:17" x14ac:dyDescent="0.2">
      <c r="A41" s="1" t="s">
        <v>49</v>
      </c>
      <c r="B41" s="2">
        <v>0.84066089915932696</v>
      </c>
      <c r="C41" s="2">
        <v>0.86884898977387504</v>
      </c>
      <c r="D41" s="2">
        <v>0.82198802575652596</v>
      </c>
      <c r="E41" s="2">
        <v>0.76528130391135496</v>
      </c>
      <c r="F41" s="2">
        <v>0.76060668025348299</v>
      </c>
      <c r="G41" s="2">
        <v>0.78361977021558904</v>
      </c>
      <c r="H41" s="6">
        <f t="shared" si="0"/>
        <v>8.4689315369782612E-3</v>
      </c>
      <c r="I41" s="2">
        <v>0.780863352828715</v>
      </c>
      <c r="J41" s="2">
        <v>0.75581680875595603</v>
      </c>
      <c r="K41" s="2">
        <v>0.76730668990725903</v>
      </c>
      <c r="L41" s="2">
        <v>0.83255008965393296</v>
      </c>
      <c r="M41" s="2">
        <v>0.88839965604488202</v>
      </c>
      <c r="N41" s="2">
        <v>0.84367976417683999</v>
      </c>
      <c r="O41" s="6">
        <f t="shared" si="1"/>
        <v>9.4017527264725568E-3</v>
      </c>
      <c r="P41" s="2">
        <v>0.81155245972863499</v>
      </c>
      <c r="Q41" s="2">
        <v>0.770742600103697</v>
      </c>
    </row>
    <row r="42" spans="1:17" x14ac:dyDescent="0.2">
      <c r="A42" s="1" t="s">
        <v>50</v>
      </c>
      <c r="B42" s="2">
        <v>2.6532743209224E-2</v>
      </c>
      <c r="C42" s="2">
        <v>0</v>
      </c>
      <c r="D42" s="2">
        <v>4.7846715712571097E-2</v>
      </c>
      <c r="E42" s="2">
        <v>3.7833076240745098E-2</v>
      </c>
      <c r="F42" s="2">
        <v>2.3399396517995798E-2</v>
      </c>
      <c r="G42" s="2">
        <v>0</v>
      </c>
      <c r="H42" s="6">
        <f t="shared" si="0"/>
        <v>0.81657167603279279</v>
      </c>
      <c r="I42" s="2">
        <v>1.50825959033964E-2</v>
      </c>
      <c r="J42" s="2">
        <v>5.8667114431305498E-2</v>
      </c>
      <c r="K42" s="2">
        <v>2.0191057727508701E-2</v>
      </c>
      <c r="L42" s="2">
        <v>6.7355960650355706E-2</v>
      </c>
      <c r="M42" s="2">
        <v>9.5531698003518007E-3</v>
      </c>
      <c r="N42" s="2">
        <v>9.32659771496183E-3</v>
      </c>
      <c r="O42" s="6" t="s">
        <v>370</v>
      </c>
      <c r="P42" s="2">
        <v>1.0920565430468401E-2</v>
      </c>
      <c r="Q42" s="2">
        <v>2.9907142997159301E-2</v>
      </c>
    </row>
    <row r="43" spans="1:17" x14ac:dyDescent="0.2">
      <c r="A43" s="1" t="s">
        <v>51</v>
      </c>
      <c r="B43" s="2">
        <v>0.13280635763144899</v>
      </c>
      <c r="C43" s="2">
        <v>0.13115101022612499</v>
      </c>
      <c r="D43" s="2">
        <v>0.13016525853090299</v>
      </c>
      <c r="E43" s="2">
        <v>0.19688561984790001</v>
      </c>
      <c r="F43" s="2">
        <v>0.21599392322852101</v>
      </c>
      <c r="G43" s="2">
        <v>0.21638022978441099</v>
      </c>
      <c r="H43" s="6">
        <f t="shared" si="0"/>
        <v>2.6811082271932204E-4</v>
      </c>
      <c r="I43" s="2">
        <v>0.204054051267889</v>
      </c>
      <c r="J43" s="2">
        <v>0.18551607681273899</v>
      </c>
      <c r="K43" s="2">
        <v>0.21250225236523301</v>
      </c>
      <c r="L43" s="2">
        <v>0.100093949695711</v>
      </c>
      <c r="M43" s="2">
        <v>0.102047174154767</v>
      </c>
      <c r="N43" s="2">
        <v>0.14699363810819799</v>
      </c>
      <c r="O43" s="6">
        <f t="shared" si="1"/>
        <v>8.1442102325621282E-3</v>
      </c>
      <c r="P43" s="2">
        <v>0.177526974840896</v>
      </c>
      <c r="Q43" s="2">
        <v>0.19935025689914401</v>
      </c>
    </row>
    <row r="44" spans="1:17" x14ac:dyDescent="0.2">
      <c r="H44" s="6" t="s">
        <v>370</v>
      </c>
      <c r="O44" s="6" t="s">
        <v>370</v>
      </c>
    </row>
    <row r="45" spans="1:17" x14ac:dyDescent="0.2">
      <c r="A45" s="1" t="s">
        <v>52</v>
      </c>
      <c r="B45" s="2">
        <v>0.82800279146155098</v>
      </c>
      <c r="C45" s="2">
        <v>0.87709927218906003</v>
      </c>
      <c r="D45" s="2">
        <v>0.85816494859271397</v>
      </c>
      <c r="E45" s="2">
        <v>0.75919235117204797</v>
      </c>
      <c r="F45" s="2">
        <v>0.76936546981699705</v>
      </c>
      <c r="G45" s="2">
        <v>0.73940367707079402</v>
      </c>
      <c r="H45" s="6">
        <f t="shared" si="0"/>
        <v>4.2213894373793869E-3</v>
      </c>
      <c r="I45" s="2">
        <v>0.60864700090014501</v>
      </c>
      <c r="J45" s="2">
        <v>0.61261138078624</v>
      </c>
      <c r="K45" s="2">
        <v>0.600876818882216</v>
      </c>
      <c r="L45" s="2">
        <v>0.57276753441582395</v>
      </c>
      <c r="M45" s="2">
        <v>0.608916800678582</v>
      </c>
      <c r="N45" s="2">
        <v>0.57550341382826797</v>
      </c>
      <c r="O45" s="6">
        <f t="shared" si="1"/>
        <v>0.14862455979456249</v>
      </c>
      <c r="P45" s="2">
        <v>0.70833931028325303</v>
      </c>
      <c r="Q45" s="2">
        <v>0.70422188491780502</v>
      </c>
    </row>
    <row r="46" spans="1:17" x14ac:dyDescent="0.2">
      <c r="A46" s="1" t="s">
        <v>53</v>
      </c>
      <c r="B46" s="2">
        <v>2.8614170097501699E-2</v>
      </c>
      <c r="C46" s="2">
        <v>0</v>
      </c>
      <c r="D46" s="2">
        <v>2.5772454862494098E-3</v>
      </c>
      <c r="E46" s="2">
        <v>9.9436507381932392E-3</v>
      </c>
      <c r="F46" s="2">
        <v>9.5859910159096506E-3</v>
      </c>
      <c r="G46" s="2">
        <v>1.0270744798282799E-2</v>
      </c>
      <c r="H46" s="6">
        <f t="shared" si="0"/>
        <v>0.96197665504867857</v>
      </c>
      <c r="I46" s="2">
        <v>2.6775455168124599E-3</v>
      </c>
      <c r="J46" s="2">
        <v>1.23542215759891E-2</v>
      </c>
      <c r="K46" s="2">
        <v>1.0918334444410699E-2</v>
      </c>
      <c r="L46" s="2">
        <v>1.5045350056055101E-2</v>
      </c>
      <c r="M46" s="2">
        <v>1.2657981321874699E-2</v>
      </c>
      <c r="N46" s="2">
        <v>2.51087905938479E-2</v>
      </c>
      <c r="O46" s="6">
        <f t="shared" si="1"/>
        <v>0.13937064361004006</v>
      </c>
      <c r="P46" s="2">
        <v>1.4354761324619301E-2</v>
      </c>
      <c r="Q46" s="2">
        <v>1.7682241878192201E-2</v>
      </c>
    </row>
    <row r="47" spans="1:17" x14ac:dyDescent="0.2">
      <c r="A47" s="1" t="s">
        <v>54</v>
      </c>
      <c r="B47" s="2">
        <v>0.142535367912555</v>
      </c>
      <c r="C47" s="2">
        <v>0.116955582084791</v>
      </c>
      <c r="D47" s="2">
        <v>0.137217011919575</v>
      </c>
      <c r="E47" s="2">
        <v>0.21369913227399701</v>
      </c>
      <c r="F47" s="2">
        <v>0.209538988633486</v>
      </c>
      <c r="G47" s="2">
        <v>0.22883815803058499</v>
      </c>
      <c r="H47" s="6">
        <f t="shared" si="0"/>
        <v>9.4928158443692687E-4</v>
      </c>
      <c r="I47" s="2">
        <v>6.7605003819970602E-2</v>
      </c>
      <c r="J47" s="2">
        <v>5.3974948738430797E-2</v>
      </c>
      <c r="K47" s="2">
        <v>5.0617903387577101E-2</v>
      </c>
      <c r="L47" s="2">
        <v>8.7248720280399997E-2</v>
      </c>
      <c r="M47" s="2">
        <v>8.2216542373390294E-2</v>
      </c>
      <c r="N47" s="2">
        <v>0.102857218811267</v>
      </c>
      <c r="O47" s="6">
        <f t="shared" si="1"/>
        <v>1.4600222275933362E-2</v>
      </c>
      <c r="P47" s="2">
        <v>9.5859222955958306E-2</v>
      </c>
      <c r="Q47" s="2">
        <v>0.108585330908248</v>
      </c>
    </row>
    <row r="48" spans="1:17" x14ac:dyDescent="0.2">
      <c r="A48" s="1" t="s">
        <v>55</v>
      </c>
      <c r="B48" s="2">
        <v>8.4767052839248896E-4</v>
      </c>
      <c r="C48" s="2">
        <v>5.9451457261497096E-3</v>
      </c>
      <c r="D48" s="2">
        <v>2.0407940014615898E-3</v>
      </c>
      <c r="E48" s="2">
        <v>7.9351331712263396E-4</v>
      </c>
      <c r="F48" s="2">
        <v>6.0679539091830301E-3</v>
      </c>
      <c r="G48" s="2">
        <v>3.7625499088959299E-3</v>
      </c>
      <c r="H48" s="6">
        <f t="shared" si="0"/>
        <v>0.79673457646960599</v>
      </c>
      <c r="I48" s="2">
        <v>7.1349908711589902E-2</v>
      </c>
      <c r="J48" s="2">
        <v>4.8681888382714297E-2</v>
      </c>
      <c r="K48" s="2">
        <v>5.2167996963203997E-2</v>
      </c>
      <c r="L48" s="2">
        <v>5.5622337290092902E-2</v>
      </c>
      <c r="M48" s="2">
        <v>4.6831017066503798E-2</v>
      </c>
      <c r="N48" s="2">
        <v>4.9638678358914598E-2</v>
      </c>
      <c r="O48" s="6">
        <f t="shared" si="1"/>
        <v>0.42251031689227103</v>
      </c>
      <c r="P48" s="2">
        <v>2.2109348639646299E-2</v>
      </c>
      <c r="Q48" s="2">
        <v>3.2677600887379997E-2</v>
      </c>
    </row>
    <row r="49" spans="1:17" x14ac:dyDescent="0.2">
      <c r="A49" s="1" t="s">
        <v>56</v>
      </c>
      <c r="B49" s="2">
        <v>0</v>
      </c>
      <c r="C49" s="2">
        <v>0</v>
      </c>
      <c r="D49" s="2">
        <v>0</v>
      </c>
      <c r="E49" s="2">
        <v>1.6371352498639399E-2</v>
      </c>
      <c r="F49" s="2">
        <v>5.44159662442342E-3</v>
      </c>
      <c r="G49" s="2">
        <v>1.77248701914417E-2</v>
      </c>
      <c r="H49" s="6">
        <f t="shared" si="0"/>
        <v>2.7548334146682885E-2</v>
      </c>
      <c r="I49" s="2">
        <v>0.121104756091407</v>
      </c>
      <c r="J49" s="2">
        <v>0.111427292047169</v>
      </c>
      <c r="K49" s="2">
        <v>0.12935056522112801</v>
      </c>
      <c r="L49" s="2">
        <v>0.21221644773231399</v>
      </c>
      <c r="M49" s="2">
        <v>0.205314601139366</v>
      </c>
      <c r="N49" s="2">
        <v>0.196302682246286</v>
      </c>
      <c r="O49" s="6">
        <f t="shared" si="1"/>
        <v>2.6630160291301399E-4</v>
      </c>
      <c r="P49" s="2">
        <v>0.101384415891696</v>
      </c>
      <c r="Q49" s="2">
        <v>8.8493079694792406E-2</v>
      </c>
    </row>
    <row r="50" spans="1:17" x14ac:dyDescent="0.2">
      <c r="A50" s="1" t="s">
        <v>57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6" t="s">
        <v>370</v>
      </c>
      <c r="I50" s="2">
        <v>0.128615784960075</v>
      </c>
      <c r="J50" s="2">
        <v>0.16095026846945701</v>
      </c>
      <c r="K50" s="2">
        <v>0.15606838110146501</v>
      </c>
      <c r="L50" s="2">
        <v>5.7099610225314797E-2</v>
      </c>
      <c r="M50" s="2">
        <v>4.4063057420283602E-2</v>
      </c>
      <c r="N50" s="2">
        <v>5.0589216161416498E-2</v>
      </c>
      <c r="O50" s="6">
        <f t="shared" si="1"/>
        <v>8.0279533519828777E-4</v>
      </c>
      <c r="P50" s="2">
        <v>5.7952940904827201E-2</v>
      </c>
      <c r="Q50" s="2">
        <v>4.8339861713581803E-2</v>
      </c>
    </row>
    <row r="51" spans="1:17" x14ac:dyDescent="0.2">
      <c r="A51" s="1" t="s">
        <v>58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6" t="s">
        <v>370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6" t="s">
        <v>370</v>
      </c>
      <c r="P51" s="2">
        <v>0</v>
      </c>
      <c r="Q51" s="2">
        <v>0</v>
      </c>
    </row>
    <row r="52" spans="1:17" x14ac:dyDescent="0.2">
      <c r="H52" s="6" t="s">
        <v>370</v>
      </c>
      <c r="O52" s="6" t="s">
        <v>370</v>
      </c>
    </row>
    <row r="53" spans="1:17" x14ac:dyDescent="0.2">
      <c r="A53" s="1" t="s">
        <v>59</v>
      </c>
      <c r="B53" s="2">
        <v>0.86069998600369801</v>
      </c>
      <c r="C53" s="2">
        <v>0.86068611893582703</v>
      </c>
      <c r="D53" s="2">
        <v>0.88236640872455396</v>
      </c>
      <c r="E53" s="2">
        <v>0.87099848661120305</v>
      </c>
      <c r="F53" s="2">
        <v>0.90088904827072402</v>
      </c>
      <c r="G53" s="2">
        <v>0.875262645756544</v>
      </c>
      <c r="H53" s="6">
        <f t="shared" si="0"/>
        <v>0.28758901080868876</v>
      </c>
      <c r="I53" s="2">
        <v>0.82716653341889901</v>
      </c>
      <c r="J53" s="2">
        <v>0.84938880378204595</v>
      </c>
      <c r="K53" s="2">
        <v>0.83707780985469205</v>
      </c>
      <c r="L53" s="2">
        <v>0.85686232090131997</v>
      </c>
      <c r="M53" s="2">
        <v>0.86558177998661201</v>
      </c>
      <c r="N53" s="2">
        <v>0.85262563374266997</v>
      </c>
      <c r="O53" s="6">
        <f t="shared" si="1"/>
        <v>5.1902699369991763E-2</v>
      </c>
      <c r="P53" s="2">
        <v>0.86206839311955197</v>
      </c>
      <c r="Q53" s="2">
        <v>0.86845440154749198</v>
      </c>
    </row>
    <row r="54" spans="1:17" x14ac:dyDescent="0.2">
      <c r="A54" s="1" t="s">
        <v>60</v>
      </c>
      <c r="B54" s="2">
        <v>1.5547553334827199E-2</v>
      </c>
      <c r="C54" s="2">
        <v>1.90545764617308E-2</v>
      </c>
      <c r="D54" s="2">
        <v>1.4337900922579101E-2</v>
      </c>
      <c r="E54" s="2">
        <v>2.1587922403395101E-2</v>
      </c>
      <c r="F54" s="2">
        <v>0</v>
      </c>
      <c r="G54" s="2">
        <v>1.71859996021544E-2</v>
      </c>
      <c r="H54" s="6">
        <f t="shared" si="0"/>
        <v>0.64136209856675064</v>
      </c>
      <c r="I54" s="2">
        <v>7.2575265009713105E-2</v>
      </c>
      <c r="J54" s="2">
        <v>6.7662255355661297E-2</v>
      </c>
      <c r="K54" s="2">
        <v>6.7613151556330894E-2</v>
      </c>
      <c r="L54" s="2">
        <v>5.5212295141993099E-2</v>
      </c>
      <c r="M54" s="2">
        <v>5.8947253154857701E-2</v>
      </c>
      <c r="N54" s="2">
        <v>5.9407180998522303E-2</v>
      </c>
      <c r="O54" s="6">
        <f t="shared" si="1"/>
        <v>5.6801070864204812E-3</v>
      </c>
      <c r="P54" s="2">
        <v>3.6009416907835601E-2</v>
      </c>
      <c r="Q54" s="2">
        <v>3.7205729667865402E-2</v>
      </c>
    </row>
    <row r="55" spans="1:17" x14ac:dyDescent="0.2">
      <c r="A55" s="1" t="s">
        <v>61</v>
      </c>
      <c r="B55" s="2">
        <v>1.9648971985154601E-2</v>
      </c>
      <c r="C55" s="2">
        <v>3.1369682741987003E-2</v>
      </c>
      <c r="D55" s="2">
        <v>2.31079351671599E-2</v>
      </c>
      <c r="E55" s="2">
        <v>3.1226067520998099E-2</v>
      </c>
      <c r="F55" s="2">
        <v>2.36848758018979E-2</v>
      </c>
      <c r="G55" s="2">
        <v>2.3488485517163302E-2</v>
      </c>
      <c r="H55" s="6">
        <f t="shared" si="0"/>
        <v>0.75763865763572524</v>
      </c>
      <c r="I55" s="2">
        <v>6.7230359952566598E-2</v>
      </c>
      <c r="J55" s="2">
        <v>5.3880545443317801E-2</v>
      </c>
      <c r="K55" s="2">
        <v>6.3128650669219494E-2</v>
      </c>
      <c r="L55" s="2">
        <v>5.45191115160851E-2</v>
      </c>
      <c r="M55" s="2">
        <v>5.4434004541639401E-2</v>
      </c>
      <c r="N55" s="2">
        <v>5.7990929329544402E-2</v>
      </c>
      <c r="O55" s="6">
        <f t="shared" si="1"/>
        <v>0.23412729117705922</v>
      </c>
      <c r="P55" s="2">
        <v>4.8376861764500997E-2</v>
      </c>
      <c r="Q55" s="2">
        <v>4.56009537133178E-2</v>
      </c>
    </row>
    <row r="56" spans="1:17" x14ac:dyDescent="0.2">
      <c r="A56" s="1" t="s">
        <v>62</v>
      </c>
      <c r="B56" s="2">
        <v>4.0087082215022503E-2</v>
      </c>
      <c r="C56" s="2">
        <v>3.66732284151998E-2</v>
      </c>
      <c r="D56" s="2">
        <v>2.8960147561944E-2</v>
      </c>
      <c r="E56" s="2">
        <v>2.9651366018758198E-2</v>
      </c>
      <c r="F56" s="2">
        <v>3.2471854847869297E-2</v>
      </c>
      <c r="G56" s="2">
        <v>3.3066820985003097E-2</v>
      </c>
      <c r="H56" s="6">
        <f t="shared" si="0"/>
        <v>0.36716650081832963</v>
      </c>
      <c r="I56" s="2">
        <v>2.70362652307535E-2</v>
      </c>
      <c r="J56" s="2">
        <v>2.4458116349175E-2</v>
      </c>
      <c r="K56" s="2">
        <v>2.7025663626920299E-2</v>
      </c>
      <c r="L56" s="2">
        <v>2.68544875502989E-2</v>
      </c>
      <c r="M56" s="2">
        <v>1.74189256104187E-2</v>
      </c>
      <c r="N56" s="2">
        <v>2.4832823647690801E-2</v>
      </c>
      <c r="O56" s="6">
        <f t="shared" si="1"/>
        <v>0.35371344489972451</v>
      </c>
      <c r="P56" s="2">
        <v>2.7766290780767599E-2</v>
      </c>
      <c r="Q56" s="2">
        <v>2.7347372432836099E-2</v>
      </c>
    </row>
    <row r="57" spans="1:17" x14ac:dyDescent="0.2">
      <c r="A57" s="1" t="s">
        <v>63</v>
      </c>
      <c r="B57" s="2">
        <v>7.6520113777044903E-3</v>
      </c>
      <c r="C57" s="2">
        <v>1.22334030588062E-2</v>
      </c>
      <c r="D57" s="2">
        <v>8.5804897574581502E-3</v>
      </c>
      <c r="E57" s="2">
        <v>4.5026159510295604E-3</v>
      </c>
      <c r="F57" s="2">
        <v>3.43260583823264E-3</v>
      </c>
      <c r="G57" s="2">
        <v>7.5043721802995301E-3</v>
      </c>
      <c r="H57" s="6">
        <f t="shared" si="0"/>
        <v>7.9298415679350406E-2</v>
      </c>
      <c r="I57" s="2">
        <v>5.9915763880678003E-3</v>
      </c>
      <c r="J57" s="2">
        <v>4.6102790697999602E-3</v>
      </c>
      <c r="K57" s="2">
        <v>5.15472429283688E-3</v>
      </c>
      <c r="L57" s="2">
        <v>6.5517848903025398E-3</v>
      </c>
      <c r="M57" s="2">
        <v>3.6180367064720799E-3</v>
      </c>
      <c r="N57" s="2">
        <v>5.1434322815721899E-3</v>
      </c>
      <c r="O57" s="6">
        <f t="shared" si="1"/>
        <v>0.882393554986596</v>
      </c>
      <c r="P57" s="2">
        <v>7.8907569524228997E-3</v>
      </c>
      <c r="Q57" s="2">
        <v>6.4431391070505304E-3</v>
      </c>
    </row>
    <row r="58" spans="1:17" x14ac:dyDescent="0.2">
      <c r="A58" s="1" t="s">
        <v>64</v>
      </c>
      <c r="B58" s="2">
        <v>5.4789691001608597E-2</v>
      </c>
      <c r="C58" s="2">
        <v>3.90253173167215E-2</v>
      </c>
      <c r="D58" s="2">
        <v>4.26471178663042E-2</v>
      </c>
      <c r="E58" s="2">
        <v>4.1886283051623903E-2</v>
      </c>
      <c r="F58" s="2">
        <v>3.9521615241276002E-2</v>
      </c>
      <c r="G58" s="2">
        <v>4.2475949670582699E-2</v>
      </c>
      <c r="H58" s="6">
        <f t="shared" si="0"/>
        <v>0.43625086342640929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6" t="s">
        <v>370</v>
      </c>
      <c r="P58" s="2">
        <v>1.7888280474921001E-2</v>
      </c>
      <c r="Q58" s="2">
        <v>1.49484035314379E-2</v>
      </c>
    </row>
    <row r="59" spans="1:17" x14ac:dyDescent="0.2">
      <c r="A59" s="1" t="s">
        <v>65</v>
      </c>
      <c r="B59" s="2">
        <v>1.5747040819845701E-3</v>
      </c>
      <c r="C59" s="2">
        <v>9.5767306972779605E-4</v>
      </c>
      <c r="D59" s="2">
        <v>0</v>
      </c>
      <c r="E59" s="2">
        <v>1.47258442992015E-4</v>
      </c>
      <c r="F59" s="2">
        <v>0</v>
      </c>
      <c r="G59" s="2">
        <v>1.0157262882533301E-3</v>
      </c>
      <c r="H59" s="6">
        <f t="shared" si="0"/>
        <v>0.45854420130876161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6" t="s">
        <v>370</v>
      </c>
      <c r="P59" s="2">
        <v>0</v>
      </c>
      <c r="Q59" s="2">
        <v>0</v>
      </c>
    </row>
    <row r="60" spans="1:17" x14ac:dyDescent="0.2">
      <c r="A60" s="1" t="s">
        <v>66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6" t="s">
        <v>370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6" t="s">
        <v>370</v>
      </c>
      <c r="P60" s="2">
        <v>0</v>
      </c>
      <c r="Q60" s="2">
        <v>0</v>
      </c>
    </row>
    <row r="61" spans="1:17" x14ac:dyDescent="0.2">
      <c r="A61" s="1" t="s">
        <v>67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6" t="s">
        <v>370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6" t="s">
        <v>370</v>
      </c>
      <c r="P61" s="2">
        <v>0</v>
      </c>
      <c r="Q61" s="2">
        <v>0</v>
      </c>
    </row>
    <row r="62" spans="1:17" x14ac:dyDescent="0.2">
      <c r="A62" s="1" t="s">
        <v>68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6" t="s">
        <v>370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6" t="s">
        <v>370</v>
      </c>
      <c r="P62" s="2">
        <v>0</v>
      </c>
      <c r="Q62" s="2">
        <v>0</v>
      </c>
    </row>
    <row r="63" spans="1:17" x14ac:dyDescent="0.2">
      <c r="A63" s="1" t="s">
        <v>69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6" t="s">
        <v>370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6" t="s">
        <v>370</v>
      </c>
      <c r="P63" s="2">
        <v>0</v>
      </c>
      <c r="Q63" s="2">
        <v>0</v>
      </c>
    </row>
    <row r="64" spans="1:17" x14ac:dyDescent="0.2">
      <c r="H64" s="6" t="s">
        <v>370</v>
      </c>
      <c r="O64" s="6" t="s">
        <v>370</v>
      </c>
    </row>
    <row r="65" spans="1:17" x14ac:dyDescent="0.2">
      <c r="A65" s="1" t="s">
        <v>70</v>
      </c>
      <c r="B65" s="2">
        <v>0.85946091991628204</v>
      </c>
      <c r="C65" s="2">
        <v>0.87893441394055805</v>
      </c>
      <c r="D65" s="2">
        <v>0.89526110060477404</v>
      </c>
      <c r="E65" s="2">
        <v>0.87180734532767101</v>
      </c>
      <c r="F65" s="2">
        <v>0.88241056939636497</v>
      </c>
      <c r="G65" s="2">
        <v>0.89227119354627304</v>
      </c>
      <c r="H65" s="6">
        <f t="shared" si="0"/>
        <v>0.73776065236448063</v>
      </c>
      <c r="I65" s="2">
        <v>0.826862282582149</v>
      </c>
      <c r="J65" s="2">
        <v>0.84290204935222501</v>
      </c>
      <c r="K65" s="2">
        <v>0.83519732817019499</v>
      </c>
      <c r="L65" s="2">
        <v>0.85061289278655805</v>
      </c>
      <c r="M65" s="2">
        <v>0.84928555670687</v>
      </c>
      <c r="N65" s="2">
        <v>0.86142302071809995</v>
      </c>
      <c r="O65" s="6">
        <f t="shared" si="1"/>
        <v>3.5479800331718693E-2</v>
      </c>
      <c r="P65" s="2">
        <v>0.86207450407680397</v>
      </c>
      <c r="Q65" s="2">
        <v>0.86853991422474597</v>
      </c>
    </row>
    <row r="66" spans="1:17" x14ac:dyDescent="0.2">
      <c r="A66" s="1" t="s">
        <v>71</v>
      </c>
      <c r="B66" s="2">
        <v>2.6171433727606901E-3</v>
      </c>
      <c r="C66" s="2">
        <v>2.2270613845871801E-2</v>
      </c>
      <c r="D66" s="2">
        <v>8.4614092225225694E-3</v>
      </c>
      <c r="E66" s="2">
        <v>2.70583360519819E-2</v>
      </c>
      <c r="F66" s="2">
        <v>2.5362242455124501E-2</v>
      </c>
      <c r="G66" s="2">
        <v>1.7134816954822499E-2</v>
      </c>
      <c r="H66" s="6">
        <f t="shared" si="0"/>
        <v>0.14070483415559715</v>
      </c>
      <c r="I66" s="2">
        <v>6.7666548993045805E-2</v>
      </c>
      <c r="J66" s="2">
        <v>7.6649224816092598E-2</v>
      </c>
      <c r="K66" s="2">
        <v>7.4491443589323705E-2</v>
      </c>
      <c r="L66" s="2">
        <v>6.7268714353592704E-2</v>
      </c>
      <c r="M66" s="2">
        <v>7.0817381568296006E-2</v>
      </c>
      <c r="N66" s="2">
        <v>5.5553462341967202E-2</v>
      </c>
      <c r="O66" s="6">
        <f t="shared" si="1"/>
        <v>0.19178040307437022</v>
      </c>
      <c r="P66" s="2">
        <v>4.9049825299637001E-2</v>
      </c>
      <c r="Q66" s="2">
        <v>4.6068454125166601E-2</v>
      </c>
    </row>
    <row r="67" spans="1:17" x14ac:dyDescent="0.2">
      <c r="A67" s="1" t="s">
        <v>72</v>
      </c>
      <c r="B67" s="2">
        <v>3.3731950523723499E-2</v>
      </c>
      <c r="C67" s="2">
        <v>3.15514984795034E-2</v>
      </c>
      <c r="D67" s="2">
        <v>2.3162422566440102E-2</v>
      </c>
      <c r="E67" s="2">
        <v>2.67771070742246E-2</v>
      </c>
      <c r="F67" s="2">
        <v>1.8916483477490201E-2</v>
      </c>
      <c r="G67" s="2">
        <v>1.94669543612268E-2</v>
      </c>
      <c r="H67" s="6">
        <f t="shared" ref="H67:H130" si="2">TTEST(B67:D67,E67:G67,2,2)</f>
        <v>0.13118107272752</v>
      </c>
      <c r="I67" s="2">
        <v>7.9205489766026704E-2</v>
      </c>
      <c r="J67" s="2">
        <v>5.8172230522646702E-2</v>
      </c>
      <c r="K67" s="2">
        <v>7.3096680174115899E-2</v>
      </c>
      <c r="L67" s="2">
        <v>6.2082559848818802E-2</v>
      </c>
      <c r="M67" s="2">
        <v>5.86827264229123E-2</v>
      </c>
      <c r="N67" s="2">
        <v>6.2956496910241397E-2</v>
      </c>
      <c r="O67" s="6">
        <f t="shared" si="1"/>
        <v>0.23482489867693984</v>
      </c>
      <c r="P67" s="2">
        <v>4.7404697971548303E-2</v>
      </c>
      <c r="Q67" s="2">
        <v>4.3662768881373201E-2</v>
      </c>
    </row>
    <row r="68" spans="1:17" x14ac:dyDescent="0.2">
      <c r="A68" s="1" t="s">
        <v>73</v>
      </c>
      <c r="B68" s="2">
        <v>5.8380662591001102E-2</v>
      </c>
      <c r="C68" s="2">
        <v>2.852193528402E-2</v>
      </c>
      <c r="D68" s="2">
        <v>2.9492378775358999E-2</v>
      </c>
      <c r="E68" s="2">
        <v>3.4217024604016502E-2</v>
      </c>
      <c r="F68" s="2">
        <v>2.8935527867072899E-2</v>
      </c>
      <c r="G68" s="2">
        <v>2.9009630781500501E-2</v>
      </c>
      <c r="H68" s="6">
        <f t="shared" si="2"/>
        <v>0.46244077483475038</v>
      </c>
      <c r="I68" s="2">
        <v>2.1917395163874701E-2</v>
      </c>
      <c r="J68" s="2">
        <v>1.7380533642400501E-2</v>
      </c>
      <c r="K68" s="2">
        <v>1.7214548066365201E-2</v>
      </c>
      <c r="L68" s="2">
        <v>2.00358330110302E-2</v>
      </c>
      <c r="M68" s="2">
        <v>1.7036904813461401E-2</v>
      </c>
      <c r="N68" s="2">
        <v>2.0067020029691199E-2</v>
      </c>
      <c r="O68" s="6">
        <f t="shared" si="1"/>
        <v>0.91497429053696333</v>
      </c>
      <c r="P68" s="2">
        <v>2.4681532049217001E-2</v>
      </c>
      <c r="Q68" s="2">
        <v>2.5271148087484398E-2</v>
      </c>
    </row>
    <row r="69" spans="1:17" x14ac:dyDescent="0.2">
      <c r="A69" s="1" t="s">
        <v>74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6" t="s">
        <v>370</v>
      </c>
      <c r="I69" s="2">
        <v>4.3482834949034096E-3</v>
      </c>
      <c r="J69" s="2">
        <v>4.8959616666348297E-3</v>
      </c>
      <c r="K69" s="2">
        <v>0</v>
      </c>
      <c r="L69" s="2">
        <v>0</v>
      </c>
      <c r="M69" s="2">
        <v>4.1774304884599602E-3</v>
      </c>
      <c r="N69" s="2">
        <v>0</v>
      </c>
      <c r="O69" s="6">
        <f t="shared" ref="O69:O130" si="3">TTEST(I69:K69,L69:N69,2,2)</f>
        <v>0.46290004842255406</v>
      </c>
      <c r="P69" s="2">
        <v>0</v>
      </c>
      <c r="Q69" s="2">
        <v>0</v>
      </c>
    </row>
    <row r="70" spans="1:17" x14ac:dyDescent="0.2">
      <c r="A70" s="1" t="s">
        <v>75</v>
      </c>
      <c r="B70" s="2">
        <v>4.5809323596232403E-2</v>
      </c>
      <c r="C70" s="2">
        <v>3.8721538450047201E-2</v>
      </c>
      <c r="D70" s="2">
        <v>4.3622688830903998E-2</v>
      </c>
      <c r="E70" s="2">
        <v>4.0140186942105902E-2</v>
      </c>
      <c r="F70" s="2">
        <v>4.43751768039478E-2</v>
      </c>
      <c r="G70" s="2">
        <v>4.2117404356177203E-2</v>
      </c>
      <c r="H70" s="6">
        <f t="shared" si="2"/>
        <v>0.84472313615251127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6" t="s">
        <v>370</v>
      </c>
      <c r="P70" s="2">
        <v>1.67894406027932E-2</v>
      </c>
      <c r="Q70" s="2">
        <v>1.64577146812298E-2</v>
      </c>
    </row>
    <row r="71" spans="1:17" x14ac:dyDescent="0.2">
      <c r="A71" s="1" t="s">
        <v>76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6" t="s">
        <v>370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6" t="s">
        <v>370</v>
      </c>
      <c r="P71" s="2">
        <v>0</v>
      </c>
      <c r="Q71" s="2">
        <v>0</v>
      </c>
    </row>
    <row r="72" spans="1:17" x14ac:dyDescent="0.2">
      <c r="A72" s="1" t="s">
        <v>77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6" t="s">
        <v>370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6" t="s">
        <v>370</v>
      </c>
      <c r="P72" s="2">
        <v>0</v>
      </c>
      <c r="Q72" s="2">
        <v>0</v>
      </c>
    </row>
    <row r="73" spans="1:17" x14ac:dyDescent="0.2">
      <c r="A73" s="1" t="s">
        <v>78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6" t="s">
        <v>370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6" t="s">
        <v>370</v>
      </c>
      <c r="P73" s="2">
        <v>0</v>
      </c>
      <c r="Q73" s="2">
        <v>0</v>
      </c>
    </row>
    <row r="74" spans="1:17" x14ac:dyDescent="0.2">
      <c r="A74" s="1" t="s">
        <v>79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6" t="s">
        <v>370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6" t="s">
        <v>370</v>
      </c>
      <c r="P74" s="2">
        <v>0</v>
      </c>
      <c r="Q74" s="2">
        <v>0</v>
      </c>
    </row>
    <row r="75" spans="1:17" x14ac:dyDescent="0.2">
      <c r="A75" s="1" t="s">
        <v>80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6" t="s">
        <v>370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6" t="s">
        <v>370</v>
      </c>
      <c r="P75" s="2">
        <v>0</v>
      </c>
      <c r="Q75" s="2">
        <v>0</v>
      </c>
    </row>
    <row r="76" spans="1:17" x14ac:dyDescent="0.2">
      <c r="H76" s="6" t="s">
        <v>370</v>
      </c>
      <c r="O76" s="6" t="s">
        <v>370</v>
      </c>
    </row>
    <row r="77" spans="1:17" x14ac:dyDescent="0.2">
      <c r="A77" s="1" t="s">
        <v>81</v>
      </c>
      <c r="B77" s="2">
        <v>0.95856332297037095</v>
      </c>
      <c r="C77" s="2">
        <v>0.95424252797273201</v>
      </c>
      <c r="D77" s="2">
        <v>0.95966045081988205</v>
      </c>
      <c r="E77" s="2">
        <v>0.92457454213632695</v>
      </c>
      <c r="F77" s="2">
        <v>0.92488596481030805</v>
      </c>
      <c r="G77" s="2">
        <v>0.91951995172979295</v>
      </c>
      <c r="H77" s="6">
        <f t="shared" si="2"/>
        <v>1.361325662919557E-4</v>
      </c>
      <c r="I77" s="2">
        <v>0.66765281161342804</v>
      </c>
      <c r="J77" s="2">
        <v>0.70257667132908896</v>
      </c>
      <c r="K77" s="2">
        <v>0.71169300495323795</v>
      </c>
      <c r="L77" s="2">
        <v>0.66545904200846495</v>
      </c>
      <c r="M77" s="2">
        <v>0.65402619352520297</v>
      </c>
      <c r="N77" s="2">
        <v>0.64167139663315997</v>
      </c>
      <c r="O77" s="6">
        <f t="shared" si="3"/>
        <v>5.5804102072896711E-2</v>
      </c>
      <c r="P77" s="2">
        <v>0.80923570853537996</v>
      </c>
      <c r="Q77" s="2">
        <v>0.80681933376813697</v>
      </c>
    </row>
    <row r="78" spans="1:17" x14ac:dyDescent="0.2">
      <c r="A78" s="1" t="s">
        <v>82</v>
      </c>
      <c r="B78" s="2">
        <v>6.7974466307025201E-3</v>
      </c>
      <c r="C78" s="2">
        <v>7.2877114606714598E-3</v>
      </c>
      <c r="D78" s="2">
        <v>7.1880482943229599E-3</v>
      </c>
      <c r="E78" s="2">
        <v>1.1156016867287399E-2</v>
      </c>
      <c r="F78" s="2">
        <v>1.3179282167364101E-2</v>
      </c>
      <c r="G78" s="2">
        <v>1.2961256943469701E-2</v>
      </c>
      <c r="H78" s="6">
        <f t="shared" si="2"/>
        <v>1.2555264841548231E-3</v>
      </c>
      <c r="I78" s="2">
        <v>1.33692139187724E-2</v>
      </c>
      <c r="J78" s="2">
        <v>1.1662498589035199E-2</v>
      </c>
      <c r="K78" s="2">
        <v>1.2579689137729199E-2</v>
      </c>
      <c r="L78" s="2">
        <v>1.9230259977153899E-2</v>
      </c>
      <c r="M78" s="2">
        <v>2.1704360757442299E-2</v>
      </c>
      <c r="N78" s="2">
        <v>1.9102793501199599E-2</v>
      </c>
      <c r="O78" s="6">
        <f t="shared" si="3"/>
        <v>1.5854156746351134E-3</v>
      </c>
      <c r="P78" s="2">
        <v>1.2741453328767799E-2</v>
      </c>
      <c r="Q78" s="2">
        <v>1.44987275674045E-2</v>
      </c>
    </row>
    <row r="79" spans="1:17" x14ac:dyDescent="0.2">
      <c r="A79" s="1" t="s">
        <v>83</v>
      </c>
      <c r="B79" s="2">
        <v>2.52292160896644E-2</v>
      </c>
      <c r="C79" s="2">
        <v>2.8605449780923099E-2</v>
      </c>
      <c r="D79" s="2">
        <v>2.41210847552716E-2</v>
      </c>
      <c r="E79" s="2">
        <v>5.2810471203711899E-2</v>
      </c>
      <c r="F79" s="2">
        <v>5.1227873983748701E-2</v>
      </c>
      <c r="G79" s="2">
        <v>5.62232019561789E-2</v>
      </c>
      <c r="H79" s="6">
        <f t="shared" si="2"/>
        <v>1.6289842278419573E-4</v>
      </c>
      <c r="I79" s="2">
        <v>4.76999697966407E-2</v>
      </c>
      <c r="J79" s="2">
        <v>4.1852202420812702E-2</v>
      </c>
      <c r="K79" s="2">
        <v>4.2782089030325099E-2</v>
      </c>
      <c r="L79" s="2">
        <v>6.6890981102709496E-2</v>
      </c>
      <c r="M79" s="2">
        <v>7.1658628333154603E-2</v>
      </c>
      <c r="N79" s="2">
        <v>6.7742068191532404E-2</v>
      </c>
      <c r="O79" s="6">
        <f t="shared" si="3"/>
        <v>4.5442903727572348E-4</v>
      </c>
      <c r="P79" s="2">
        <v>4.9088716839241701E-2</v>
      </c>
      <c r="Q79" s="2">
        <v>4.9955372557284501E-2</v>
      </c>
    </row>
    <row r="80" spans="1:17" x14ac:dyDescent="0.2">
      <c r="A80" s="1" t="s">
        <v>84</v>
      </c>
      <c r="B80" s="2">
        <v>9.4100143092622195E-3</v>
      </c>
      <c r="C80" s="2">
        <v>9.8643107856735603E-3</v>
      </c>
      <c r="D80" s="2">
        <v>9.0304161305230207E-3</v>
      </c>
      <c r="E80" s="2">
        <v>1.1458969792673799E-2</v>
      </c>
      <c r="F80" s="2">
        <v>1.0706879038579E-2</v>
      </c>
      <c r="G80" s="2">
        <v>1.1295589370558299E-2</v>
      </c>
      <c r="H80" s="6">
        <f t="shared" si="2"/>
        <v>6.6225357970818828E-3</v>
      </c>
      <c r="I80" s="2">
        <v>5.21459153061435E-2</v>
      </c>
      <c r="J80" s="2">
        <v>4.85515241078735E-2</v>
      </c>
      <c r="K80" s="2">
        <v>4.72392517725208E-2</v>
      </c>
      <c r="L80" s="2">
        <v>2.7874938441660901E-2</v>
      </c>
      <c r="M80" s="2">
        <v>2.77570168063325E-2</v>
      </c>
      <c r="N80" s="2">
        <v>3.1330517153727602E-2</v>
      </c>
      <c r="O80" s="6">
        <f t="shared" si="3"/>
        <v>4.1300073673693769E-4</v>
      </c>
      <c r="P80" s="2">
        <v>2.4200338429723901E-2</v>
      </c>
      <c r="Q80" s="2">
        <v>2.36336184036013E-2</v>
      </c>
    </row>
    <row r="81" spans="1:17" x14ac:dyDescent="0.2">
      <c r="A81" s="1" t="s">
        <v>85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6" t="s">
        <v>370</v>
      </c>
      <c r="I81" s="2">
        <v>0.21913208936501499</v>
      </c>
      <c r="J81" s="2">
        <v>0.19535710355319</v>
      </c>
      <c r="K81" s="2">
        <v>0.185705965106187</v>
      </c>
      <c r="L81" s="2">
        <v>0.220544778470011</v>
      </c>
      <c r="M81" s="2">
        <v>0.224853800577868</v>
      </c>
      <c r="N81" s="2">
        <v>0.24015322452037999</v>
      </c>
      <c r="O81" s="6">
        <f t="shared" si="3"/>
        <v>6.9881022296729364E-2</v>
      </c>
      <c r="P81" s="2">
        <v>0.104733782866886</v>
      </c>
      <c r="Q81" s="2">
        <v>0.105092947703573</v>
      </c>
    </row>
    <row r="82" spans="1:17" x14ac:dyDescent="0.2">
      <c r="H82" s="6" t="s">
        <v>370</v>
      </c>
      <c r="O82" s="6" t="s">
        <v>370</v>
      </c>
    </row>
    <row r="83" spans="1:17" x14ac:dyDescent="0.2">
      <c r="A83" s="1" t="s">
        <v>86</v>
      </c>
      <c r="B83" s="2">
        <v>0.87739099951288901</v>
      </c>
      <c r="C83" s="2">
        <v>0.87027211741377497</v>
      </c>
      <c r="D83" s="2">
        <v>0.88053312833138697</v>
      </c>
      <c r="E83" s="2">
        <v>0.87870762387744195</v>
      </c>
      <c r="F83" s="2">
        <v>0.89512042606940101</v>
      </c>
      <c r="G83" s="2">
        <v>0.88147319009730496</v>
      </c>
      <c r="H83" s="6">
        <f t="shared" si="2"/>
        <v>0.20116982294783675</v>
      </c>
      <c r="I83" s="2">
        <v>0.83998854760755104</v>
      </c>
      <c r="J83" s="2">
        <v>0.844598212544027</v>
      </c>
      <c r="K83" s="2">
        <v>0.84243259631428002</v>
      </c>
      <c r="L83" s="2">
        <v>0.85665689392052202</v>
      </c>
      <c r="M83" s="2">
        <v>0.86089771126277403</v>
      </c>
      <c r="N83" s="2">
        <v>0.84661085774683997</v>
      </c>
      <c r="O83" s="6">
        <f t="shared" si="3"/>
        <v>4.9392835427066024E-2</v>
      </c>
      <c r="P83" s="2">
        <v>0.85815511244127995</v>
      </c>
      <c r="Q83" s="2">
        <v>0.865573218336398</v>
      </c>
    </row>
    <row r="84" spans="1:17" x14ac:dyDescent="0.2">
      <c r="A84" s="1" t="s">
        <v>87</v>
      </c>
      <c r="B84" s="2">
        <v>2.7473330280215801E-3</v>
      </c>
      <c r="C84" s="2">
        <v>1.0138298684138999E-2</v>
      </c>
      <c r="D84" s="2">
        <v>5.4381258382752698E-3</v>
      </c>
      <c r="E84" s="2">
        <v>9.0069403757001305E-3</v>
      </c>
      <c r="F84" s="2">
        <v>3.1272458644285499E-3</v>
      </c>
      <c r="G84" s="2">
        <v>5.3730917987812399E-3</v>
      </c>
      <c r="H84" s="6">
        <f t="shared" si="2"/>
        <v>0.9261019352710298</v>
      </c>
      <c r="I84" s="2">
        <v>6.2894727796414404E-2</v>
      </c>
      <c r="J84" s="2">
        <v>6.2284333446484402E-2</v>
      </c>
      <c r="K84" s="2">
        <v>5.9532858333054398E-2</v>
      </c>
      <c r="L84" s="2">
        <v>5.6470048918309999E-2</v>
      </c>
      <c r="M84" s="2">
        <v>5.6281024726739598E-2</v>
      </c>
      <c r="N84" s="2">
        <v>6.24642790592215E-2</v>
      </c>
      <c r="O84" s="6" t="s">
        <v>370</v>
      </c>
      <c r="P84" s="2">
        <v>3.7384762754503302E-2</v>
      </c>
      <c r="Q84" s="2">
        <v>3.1881809237994801E-2</v>
      </c>
    </row>
    <row r="85" spans="1:17" x14ac:dyDescent="0.2">
      <c r="A85" s="1" t="s">
        <v>88</v>
      </c>
      <c r="B85" s="2">
        <v>2.9534231916212898E-2</v>
      </c>
      <c r="C85" s="2">
        <v>3.4757907108916603E-2</v>
      </c>
      <c r="D85" s="2">
        <v>3.1373885668542503E-2</v>
      </c>
      <c r="E85" s="2">
        <v>3.15429343027347E-2</v>
      </c>
      <c r="F85" s="2">
        <v>2.7011760774980301E-2</v>
      </c>
      <c r="G85" s="2">
        <v>2.9922317136510199E-2</v>
      </c>
      <c r="H85" s="6">
        <f t="shared" si="2"/>
        <v>0.30201638635982508</v>
      </c>
      <c r="I85" s="2">
        <v>6.1999061839992202E-2</v>
      </c>
      <c r="J85" s="2">
        <v>6.1571865178957498E-2</v>
      </c>
      <c r="K85" s="2">
        <v>6.2823363823299005E-2</v>
      </c>
      <c r="L85" s="2">
        <v>5.6301068413997797E-2</v>
      </c>
      <c r="M85" s="2">
        <v>5.5059440853527097E-2</v>
      </c>
      <c r="N85" s="2">
        <v>5.9040741706971399E-2</v>
      </c>
      <c r="O85" s="6">
        <f t="shared" si="3"/>
        <v>1.2382060195524118E-2</v>
      </c>
      <c r="P85" s="2">
        <v>4.7831293404978402E-2</v>
      </c>
      <c r="Q85" s="2">
        <v>4.68785892093945E-2</v>
      </c>
    </row>
    <row r="86" spans="1:17" x14ac:dyDescent="0.2">
      <c r="A86" s="1" t="s">
        <v>89</v>
      </c>
      <c r="B86" s="2">
        <v>3.5280491289850301E-2</v>
      </c>
      <c r="C86" s="2">
        <v>3.3138738944495399E-2</v>
      </c>
      <c r="D86" s="2">
        <v>3.2507855427538597E-2</v>
      </c>
      <c r="E86" s="2">
        <v>3.04336271612256E-2</v>
      </c>
      <c r="F86" s="2">
        <v>2.9631366382223401E-2</v>
      </c>
      <c r="G86" s="2">
        <v>3.24670928867078E-2</v>
      </c>
      <c r="H86" s="6">
        <f t="shared" si="2"/>
        <v>7.8394316621861179E-2</v>
      </c>
      <c r="I86" s="2">
        <v>2.8620670802628801E-2</v>
      </c>
      <c r="J86" s="2">
        <v>2.51397069945394E-2</v>
      </c>
      <c r="K86" s="2">
        <v>2.7965429001448799E-2</v>
      </c>
      <c r="L86" s="2">
        <v>2.4467742050066299E-2</v>
      </c>
      <c r="M86" s="2">
        <v>2.3314230722163098E-2</v>
      </c>
      <c r="N86" s="2">
        <v>2.5696226038560602E-2</v>
      </c>
      <c r="O86" s="6">
        <f t="shared" si="3"/>
        <v>9.6428217494829771E-2</v>
      </c>
      <c r="P86" s="2">
        <v>2.96514699348721E-2</v>
      </c>
      <c r="Q86" s="2">
        <v>3.02521536830208E-2</v>
      </c>
    </row>
    <row r="87" spans="1:17" x14ac:dyDescent="0.2">
      <c r="A87" s="1" t="s">
        <v>90</v>
      </c>
      <c r="B87" s="2">
        <v>7.9137552913472707E-3</v>
      </c>
      <c r="C87" s="2">
        <v>7.96752189701363E-3</v>
      </c>
      <c r="D87" s="2">
        <v>7.8487103818221209E-3</v>
      </c>
      <c r="E87" s="2">
        <v>7.4842620796817397E-3</v>
      </c>
      <c r="F87" s="2">
        <v>6.77177878583274E-3</v>
      </c>
      <c r="G87" s="2">
        <v>7.3690988588704003E-3</v>
      </c>
      <c r="H87" s="6">
        <f t="shared" si="2"/>
        <v>3.4861198232643019E-2</v>
      </c>
      <c r="I87" s="2">
        <v>6.1025595001733398E-3</v>
      </c>
      <c r="J87" s="2">
        <v>6.0466616990910204E-3</v>
      </c>
      <c r="K87" s="2">
        <v>6.1858450802381197E-3</v>
      </c>
      <c r="L87" s="2">
        <v>5.0812230775454997E-3</v>
      </c>
      <c r="M87" s="2">
        <v>4.4450266633265598E-3</v>
      </c>
      <c r="N87" s="2">
        <v>5.5343747280330504E-3</v>
      </c>
      <c r="O87" s="6">
        <f t="shared" si="3"/>
        <v>2.6615757404013413E-2</v>
      </c>
      <c r="P87" s="2">
        <v>6.3485277421082504E-3</v>
      </c>
      <c r="Q87" s="2">
        <v>6.1325525460242704E-3</v>
      </c>
    </row>
    <row r="88" spans="1:17" x14ac:dyDescent="0.2">
      <c r="A88" s="1" t="s">
        <v>91</v>
      </c>
      <c r="B88" s="2">
        <v>4.4079692706235601E-2</v>
      </c>
      <c r="C88" s="2">
        <v>4.0403587702050901E-2</v>
      </c>
      <c r="D88" s="2">
        <v>3.9322242140155901E-2</v>
      </c>
      <c r="E88" s="2">
        <v>3.9948713300631801E-2</v>
      </c>
      <c r="F88" s="2">
        <v>3.58010776271162E-2</v>
      </c>
      <c r="G88" s="2">
        <v>3.9899691434263501E-2</v>
      </c>
      <c r="H88" s="6">
        <f t="shared" si="2"/>
        <v>0.24375718969057761</v>
      </c>
      <c r="I88" s="2">
        <v>3.9443245324025501E-4</v>
      </c>
      <c r="J88" s="2">
        <v>3.5922013690055198E-4</v>
      </c>
      <c r="K88" s="2">
        <v>9.0410629103510997E-4</v>
      </c>
      <c r="L88" s="2">
        <v>7.6961749495034601E-4</v>
      </c>
      <c r="M88" s="2">
        <v>2.5657714697140702E-6</v>
      </c>
      <c r="N88" s="2">
        <v>4.9294879604795704E-4</v>
      </c>
      <c r="O88" s="6">
        <f t="shared" si="3"/>
        <v>0.67005768355878881</v>
      </c>
      <c r="P88" s="2">
        <v>1.8954600929106499E-2</v>
      </c>
      <c r="Q88" s="2">
        <v>1.76144354045677E-2</v>
      </c>
    </row>
    <row r="89" spans="1:17" x14ac:dyDescent="0.2">
      <c r="A89" s="1" t="s">
        <v>92</v>
      </c>
      <c r="B89" s="2">
        <v>2.21754420887736E-3</v>
      </c>
      <c r="C89" s="2">
        <v>2.1667672060026199E-3</v>
      </c>
      <c r="D89" s="2">
        <v>1.8780956873576699E-3</v>
      </c>
      <c r="E89" s="2">
        <v>2.1596319345916801E-3</v>
      </c>
      <c r="F89" s="2">
        <v>1.76485534900521E-3</v>
      </c>
      <c r="G89" s="2">
        <v>2.5450387201204198E-3</v>
      </c>
      <c r="H89" s="6">
        <f t="shared" si="2"/>
        <v>0.79515300778905251</v>
      </c>
      <c r="I89" s="2">
        <v>0</v>
      </c>
      <c r="J89" s="2">
        <v>0</v>
      </c>
      <c r="K89" s="2">
        <v>1.5580115664463699E-4</v>
      </c>
      <c r="L89" s="2">
        <v>2.5340612460837399E-4</v>
      </c>
      <c r="M89" s="2">
        <v>0</v>
      </c>
      <c r="N89" s="2">
        <v>1.60571924325664E-4</v>
      </c>
      <c r="O89" s="6">
        <f t="shared" si="3"/>
        <v>0.39511040745780945</v>
      </c>
      <c r="P89" s="2">
        <v>1.2098943211871699E-3</v>
      </c>
      <c r="Q89" s="2">
        <v>1.2986953127035799E-3</v>
      </c>
    </row>
    <row r="90" spans="1:17" x14ac:dyDescent="0.2">
      <c r="A90" s="1" t="s">
        <v>93</v>
      </c>
      <c r="B90" s="2">
        <v>8.3595204656625698E-4</v>
      </c>
      <c r="C90" s="2">
        <v>1.15506104360696E-3</v>
      </c>
      <c r="D90" s="2">
        <v>1.0979565249212601E-3</v>
      </c>
      <c r="E90" s="2">
        <v>7.1626696799252903E-4</v>
      </c>
      <c r="F90" s="2">
        <v>7.7148914701288698E-4</v>
      </c>
      <c r="G90" s="2">
        <v>9.50479067440727E-4</v>
      </c>
      <c r="H90" s="6">
        <f t="shared" si="2"/>
        <v>0.14757656858622431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6" t="s">
        <v>370</v>
      </c>
      <c r="P90" s="2">
        <v>4.6433847196390401E-4</v>
      </c>
      <c r="Q90" s="2">
        <v>3.6854626989650698E-4</v>
      </c>
    </row>
    <row r="91" spans="1:17" x14ac:dyDescent="0.2">
      <c r="A91" s="1" t="s">
        <v>94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6" t="s">
        <v>370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6" t="s">
        <v>370</v>
      </c>
      <c r="P91" s="2">
        <v>0</v>
      </c>
      <c r="Q91" s="2">
        <v>0</v>
      </c>
    </row>
    <row r="92" spans="1:17" x14ac:dyDescent="0.2">
      <c r="A92" s="1" t="s">
        <v>95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6" t="s">
        <v>370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6" t="s">
        <v>370</v>
      </c>
      <c r="P92" s="2">
        <v>0</v>
      </c>
      <c r="Q92" s="2">
        <v>0</v>
      </c>
    </row>
    <row r="93" spans="1:17" x14ac:dyDescent="0.2">
      <c r="A93" s="1" t="s">
        <v>96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6" t="s">
        <v>370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6" t="s">
        <v>370</v>
      </c>
      <c r="P93" s="2">
        <v>0</v>
      </c>
      <c r="Q93" s="2">
        <v>0</v>
      </c>
    </row>
    <row r="94" spans="1:17" x14ac:dyDescent="0.2">
      <c r="H94" s="6" t="s">
        <v>370</v>
      </c>
      <c r="O94" s="6" t="s">
        <v>370</v>
      </c>
    </row>
    <row r="95" spans="1:17" x14ac:dyDescent="0.2">
      <c r="A95" s="1" t="s">
        <v>97</v>
      </c>
      <c r="B95" s="2">
        <v>1</v>
      </c>
      <c r="C95" s="2">
        <v>1</v>
      </c>
      <c r="D95" s="2">
        <v>1</v>
      </c>
      <c r="E95" s="2">
        <v>1</v>
      </c>
      <c r="F95" s="2">
        <v>1</v>
      </c>
      <c r="G95" s="2">
        <v>1</v>
      </c>
      <c r="H95" s="6" t="s">
        <v>370</v>
      </c>
      <c r="I95" s="2">
        <v>1</v>
      </c>
      <c r="J95" s="2">
        <v>1</v>
      </c>
      <c r="K95" s="2">
        <v>1</v>
      </c>
      <c r="L95" s="2">
        <v>1</v>
      </c>
      <c r="M95" s="2">
        <v>1</v>
      </c>
      <c r="N95" s="2">
        <v>1</v>
      </c>
      <c r="O95" s="6" t="s">
        <v>370</v>
      </c>
      <c r="P95" s="2">
        <v>1</v>
      </c>
      <c r="Q95" s="2">
        <v>1</v>
      </c>
    </row>
    <row r="96" spans="1:17" x14ac:dyDescent="0.2">
      <c r="A96" s="1" t="s">
        <v>98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6" t="s">
        <v>370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6" t="s">
        <v>370</v>
      </c>
      <c r="P96" s="2">
        <v>0</v>
      </c>
      <c r="Q96" s="2">
        <v>0</v>
      </c>
    </row>
    <row r="97" spans="1:21" x14ac:dyDescent="0.2">
      <c r="A97" s="1" t="s">
        <v>99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6" t="s">
        <v>370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6" t="s">
        <v>370</v>
      </c>
      <c r="P97" s="2">
        <v>0</v>
      </c>
      <c r="Q97" s="2">
        <v>0</v>
      </c>
    </row>
    <row r="98" spans="1:21" x14ac:dyDescent="0.2">
      <c r="A98" s="1" t="s">
        <v>100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6" t="s">
        <v>370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6" t="s">
        <v>370</v>
      </c>
      <c r="P98" s="2">
        <v>0</v>
      </c>
      <c r="Q98" s="2">
        <v>0</v>
      </c>
    </row>
    <row r="99" spans="1:21" x14ac:dyDescent="0.2">
      <c r="A99" s="1" t="s">
        <v>101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6" t="s">
        <v>370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6" t="s">
        <v>370</v>
      </c>
      <c r="P99" s="2">
        <v>0</v>
      </c>
      <c r="Q99" s="2">
        <v>0</v>
      </c>
    </row>
    <row r="100" spans="1:21" x14ac:dyDescent="0.2">
      <c r="A100" s="1" t="s">
        <v>102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6" t="s">
        <v>370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6" t="s">
        <v>370</v>
      </c>
      <c r="P100" s="2">
        <v>0</v>
      </c>
      <c r="Q100" s="2">
        <v>0</v>
      </c>
    </row>
    <row r="101" spans="1:21" x14ac:dyDescent="0.2">
      <c r="A101" s="1" t="s">
        <v>103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6" t="s">
        <v>370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6" t="s">
        <v>370</v>
      </c>
      <c r="P101" s="2">
        <v>0</v>
      </c>
      <c r="Q101" s="2">
        <v>0</v>
      </c>
    </row>
    <row r="102" spans="1:21" x14ac:dyDescent="0.2">
      <c r="A102" s="1" t="s">
        <v>104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6" t="s">
        <v>370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6" t="s">
        <v>370</v>
      </c>
      <c r="P102" s="2">
        <v>0</v>
      </c>
      <c r="Q102" s="2">
        <v>0</v>
      </c>
    </row>
    <row r="103" spans="1:21" x14ac:dyDescent="0.2">
      <c r="A103" s="1" t="s">
        <v>105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6" t="s">
        <v>370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6" t="s">
        <v>370</v>
      </c>
      <c r="P103" s="2">
        <v>0</v>
      </c>
      <c r="Q103" s="2">
        <v>0</v>
      </c>
    </row>
    <row r="104" spans="1:21" x14ac:dyDescent="0.2">
      <c r="A104" s="1" t="s">
        <v>106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6" t="s">
        <v>370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6" t="s">
        <v>370</v>
      </c>
      <c r="P104" s="2">
        <v>0</v>
      </c>
      <c r="Q104" s="2">
        <v>0</v>
      </c>
    </row>
    <row r="105" spans="1:21" x14ac:dyDescent="0.2">
      <c r="H105" s="6" t="s">
        <v>370</v>
      </c>
      <c r="O105" s="6" t="s">
        <v>370</v>
      </c>
    </row>
    <row r="106" spans="1:21" x14ac:dyDescent="0.2">
      <c r="A106" s="1" t="s">
        <v>107</v>
      </c>
      <c r="B106" s="2">
        <v>0.90545938400171899</v>
      </c>
      <c r="C106" s="2">
        <v>0.91545412627366496</v>
      </c>
      <c r="D106" s="2">
        <v>0.922457432664333</v>
      </c>
      <c r="E106" s="2">
        <v>0.82979971097702199</v>
      </c>
      <c r="F106" s="2">
        <v>0.84861856330163299</v>
      </c>
      <c r="G106" s="2">
        <v>0.80562236040730595</v>
      </c>
      <c r="H106" s="6">
        <f t="shared" si="2"/>
        <v>2.9606089110418015E-3</v>
      </c>
      <c r="I106" s="2">
        <v>0.70593464260439698</v>
      </c>
      <c r="J106" s="2">
        <v>0.73480899434781299</v>
      </c>
      <c r="K106" s="2">
        <v>0.74996806852730902</v>
      </c>
      <c r="L106" s="2">
        <v>0.71270809057552398</v>
      </c>
      <c r="M106" s="2">
        <v>0.69729317344789998</v>
      </c>
      <c r="N106" s="2">
        <v>0.68279953994053899</v>
      </c>
      <c r="O106" s="6">
        <f t="shared" si="3"/>
        <v>0.10356950734673111</v>
      </c>
      <c r="P106" s="2">
        <v>0.78907072510850196</v>
      </c>
      <c r="Q106" s="2">
        <v>0.77640923398482098</v>
      </c>
      <c r="R106" s="7">
        <f>AVERAGE(I106:K106)</f>
        <v>0.73023723515983974</v>
      </c>
      <c r="S106" s="7">
        <f>STDEV(I106:K106)</f>
        <v>2.2369876758305117E-2</v>
      </c>
      <c r="T106" s="7">
        <f>AVERAGE(L106:N106)</f>
        <v>0.69760026798798769</v>
      </c>
      <c r="U106" s="7">
        <f>STDEV(L106:N106)</f>
        <v>1.4956640015851787E-2</v>
      </c>
    </row>
    <row r="107" spans="1:21" x14ac:dyDescent="0.2">
      <c r="A107" s="1" t="s">
        <v>108</v>
      </c>
      <c r="B107" s="2">
        <v>2.6892656514350198E-3</v>
      </c>
      <c r="C107" s="2">
        <v>4.26393970672543E-4</v>
      </c>
      <c r="D107" s="2">
        <v>1.8968939126495E-3</v>
      </c>
      <c r="E107" s="2">
        <v>2.3293735839223602E-3</v>
      </c>
      <c r="F107" s="2">
        <v>1.5830910388491301E-3</v>
      </c>
      <c r="G107" s="2">
        <v>3.9672170416543999E-3</v>
      </c>
      <c r="H107" s="6">
        <f t="shared" si="2"/>
        <v>0.37897791777506928</v>
      </c>
      <c r="I107" s="2">
        <v>0</v>
      </c>
      <c r="J107" s="2">
        <v>0</v>
      </c>
      <c r="K107" s="2">
        <v>1.0074839213316501E-3</v>
      </c>
      <c r="L107" s="2">
        <v>6.7934708395292502E-3</v>
      </c>
      <c r="M107" s="2">
        <v>7.1772991121886696E-3</v>
      </c>
      <c r="N107" s="2">
        <v>1.1347487889775101E-2</v>
      </c>
      <c r="O107" s="6">
        <f t="shared" si="3"/>
        <v>5.6345058511083519E-3</v>
      </c>
      <c r="P107" s="2">
        <v>3.2271600043774998E-3</v>
      </c>
      <c r="Q107" s="2">
        <v>3.3272798542323101E-3</v>
      </c>
      <c r="R107" s="7">
        <f t="shared" ref="R107:R112" si="4">AVERAGE(I107:K107)</f>
        <v>3.3582797377721671E-4</v>
      </c>
      <c r="S107" s="7">
        <f t="shared" ref="S107:S112" si="5">STDEV(I107:K107)</f>
        <v>5.8167111318504789E-4</v>
      </c>
      <c r="T107" s="7">
        <f t="shared" ref="T107:T112" si="6">AVERAGE(L107:N107)</f>
        <v>8.4394192804976738E-3</v>
      </c>
      <c r="U107" s="7">
        <f t="shared" ref="U107:U112" si="7">STDEV(L107:N107)</f>
        <v>2.5257629170058185E-3</v>
      </c>
    </row>
    <row r="108" spans="1:21" x14ac:dyDescent="0.2">
      <c r="A108" s="1" t="s">
        <v>109</v>
      </c>
      <c r="B108" s="2">
        <v>7.4208899431527003E-2</v>
      </c>
      <c r="C108" s="2">
        <v>7.1114266335272E-2</v>
      </c>
      <c r="D108" s="2">
        <v>6.2886306912190298E-2</v>
      </c>
      <c r="E108" s="2">
        <v>0.13859779838096101</v>
      </c>
      <c r="F108" s="2">
        <v>0.12515084419140199</v>
      </c>
      <c r="G108" s="2">
        <v>0.15541295836647501</v>
      </c>
      <c r="H108" s="6">
        <f t="shared" si="2"/>
        <v>1.696108068809454E-3</v>
      </c>
      <c r="I108" s="2">
        <v>3.3610665579413897E-2</v>
      </c>
      <c r="J108" s="2">
        <v>3.2235209987231499E-2</v>
      </c>
      <c r="K108" s="2">
        <v>3.2070560547149199E-2</v>
      </c>
      <c r="L108" s="2">
        <v>5.1378777123841202E-2</v>
      </c>
      <c r="M108" s="2">
        <v>5.7720993726930403E-2</v>
      </c>
      <c r="N108" s="2">
        <v>5.10892580383615E-2</v>
      </c>
      <c r="O108" s="6">
        <f t="shared" si="3"/>
        <v>7.2643126559236541E-4</v>
      </c>
      <c r="P108" s="2">
        <v>6.6966616445665803E-2</v>
      </c>
      <c r="Q108" s="2">
        <v>7.54579801144626E-2</v>
      </c>
      <c r="R108" s="7">
        <f t="shared" si="4"/>
        <v>3.2638812037931529E-2</v>
      </c>
      <c r="S108" s="7">
        <f t="shared" si="5"/>
        <v>8.4566650583945639E-4</v>
      </c>
      <c r="T108" s="7">
        <f t="shared" si="6"/>
        <v>5.3396342963044373E-2</v>
      </c>
      <c r="U108" s="7">
        <f t="shared" si="7"/>
        <v>3.7480539613777304E-3</v>
      </c>
    </row>
    <row r="109" spans="1:21" x14ac:dyDescent="0.2">
      <c r="A109" s="1" t="s">
        <v>110</v>
      </c>
      <c r="B109" s="2">
        <v>1.0072716210634301E-2</v>
      </c>
      <c r="C109" s="2">
        <v>7.6484817862669001E-3</v>
      </c>
      <c r="D109" s="2">
        <v>8.1351478501211997E-3</v>
      </c>
      <c r="E109" s="2">
        <v>1.42805831072574E-2</v>
      </c>
      <c r="F109" s="2">
        <v>1.18624147995895E-2</v>
      </c>
      <c r="G109" s="2">
        <v>1.5669872835540999E-2</v>
      </c>
      <c r="H109" s="6">
        <f t="shared" si="2"/>
        <v>1.6397161786846883E-2</v>
      </c>
      <c r="I109" s="2">
        <v>4.6525965930852099E-2</v>
      </c>
      <c r="J109" s="2">
        <v>4.3896382233153598E-2</v>
      </c>
      <c r="K109" s="2">
        <v>4.5763224892152697E-2</v>
      </c>
      <c r="L109" s="2">
        <v>3.4275141297640803E-2</v>
      </c>
      <c r="M109" s="2">
        <v>3.5128781126574297E-2</v>
      </c>
      <c r="N109" s="2">
        <v>3.90415689255489E-2</v>
      </c>
      <c r="O109" s="6">
        <f t="shared" si="3"/>
        <v>5.1148375768814668E-3</v>
      </c>
      <c r="P109" s="2">
        <v>2.5568211468638701E-2</v>
      </c>
      <c r="Q109" s="2">
        <v>3.1941068763687103E-2</v>
      </c>
      <c r="R109" s="7">
        <f t="shared" si="4"/>
        <v>4.5395191018719465E-2</v>
      </c>
      <c r="S109" s="7">
        <f t="shared" si="5"/>
        <v>1.3528726121834723E-3</v>
      </c>
      <c r="T109" s="7">
        <f t="shared" si="6"/>
        <v>3.6148497116587998E-2</v>
      </c>
      <c r="U109" s="7">
        <f t="shared" si="7"/>
        <v>2.5415691232462323E-3</v>
      </c>
    </row>
    <row r="110" spans="1:21" x14ac:dyDescent="0.2">
      <c r="A110" s="1" t="s">
        <v>111</v>
      </c>
      <c r="B110" s="2">
        <v>6.0418416903008903E-3</v>
      </c>
      <c r="C110" s="2">
        <v>4.0377840602808697E-3</v>
      </c>
      <c r="D110" s="2">
        <v>3.8201093247531201E-3</v>
      </c>
      <c r="E110" s="2">
        <v>1.29037900720594E-2</v>
      </c>
      <c r="F110" s="2">
        <v>1.0838332467395901E-2</v>
      </c>
      <c r="G110" s="2">
        <v>1.5293585162632699E-2</v>
      </c>
      <c r="H110" s="6">
        <f t="shared" si="2"/>
        <v>4.6671465590738467E-3</v>
      </c>
      <c r="I110" s="2">
        <v>0.12638564095707799</v>
      </c>
      <c r="J110" s="2">
        <v>0.101685948411379</v>
      </c>
      <c r="K110" s="2">
        <v>9.4031202071091793E-2</v>
      </c>
      <c r="L110" s="2">
        <v>0.16868208204473101</v>
      </c>
      <c r="M110" s="2">
        <v>0.177671108425871</v>
      </c>
      <c r="N110" s="2">
        <v>0.18424385677708899</v>
      </c>
      <c r="O110" s="6">
        <f t="shared" si="3"/>
        <v>2.9525859699645811E-3</v>
      </c>
      <c r="P110" s="2">
        <v>8.3662152955376198E-2</v>
      </c>
      <c r="Q110" s="2">
        <v>8.0071174452924096E-2</v>
      </c>
      <c r="R110" s="7">
        <f t="shared" si="4"/>
        <v>0.10736759714651627</v>
      </c>
      <c r="S110" s="7">
        <f t="shared" si="5"/>
        <v>1.6908970346205948E-2</v>
      </c>
      <c r="T110" s="7">
        <f t="shared" si="6"/>
        <v>0.17686568241589698</v>
      </c>
      <c r="U110" s="7">
        <f t="shared" si="7"/>
        <v>7.8120894451049906E-3</v>
      </c>
    </row>
    <row r="111" spans="1:21" x14ac:dyDescent="0.2">
      <c r="A111" s="1" t="s">
        <v>112</v>
      </c>
      <c r="B111" s="2">
        <v>1.5278930143840001E-3</v>
      </c>
      <c r="C111" s="2">
        <v>1.31894757384319E-3</v>
      </c>
      <c r="D111" s="2">
        <v>8.0410933595253305E-4</v>
      </c>
      <c r="E111" s="2">
        <v>2.08874387877875E-3</v>
      </c>
      <c r="F111" s="2">
        <v>1.94675420113024E-3</v>
      </c>
      <c r="G111" s="2">
        <v>4.0340061863907402E-3</v>
      </c>
      <c r="H111" s="6">
        <f t="shared" si="2"/>
        <v>0.10558129364822616</v>
      </c>
      <c r="I111" s="2">
        <v>8.4942865924858099E-2</v>
      </c>
      <c r="J111" s="2">
        <v>8.6204714257268805E-2</v>
      </c>
      <c r="K111" s="2">
        <v>7.5389308689960494E-2</v>
      </c>
      <c r="L111" s="2">
        <v>2.3535691079726199E-2</v>
      </c>
      <c r="M111" s="2">
        <v>2.2807336944803799E-2</v>
      </c>
      <c r="N111" s="2">
        <v>2.9266211606182101E-2</v>
      </c>
      <c r="O111" s="6">
        <f t="shared" si="3"/>
        <v>1.3813602073406786E-4</v>
      </c>
      <c r="P111" s="2">
        <v>2.9974689693877201E-2</v>
      </c>
      <c r="Q111" s="2">
        <v>3.1295871781594202E-2</v>
      </c>
      <c r="R111" s="7">
        <f t="shared" si="4"/>
        <v>8.2178962957362461E-2</v>
      </c>
      <c r="S111" s="7">
        <f t="shared" si="5"/>
        <v>5.9137652224821443E-3</v>
      </c>
      <c r="T111" s="7">
        <f t="shared" si="6"/>
        <v>2.5203079876904035E-2</v>
      </c>
      <c r="U111" s="7">
        <f t="shared" si="7"/>
        <v>3.5375704266578608E-3</v>
      </c>
    </row>
    <row r="112" spans="1:21" x14ac:dyDescent="0.2">
      <c r="A112" s="1" t="s">
        <v>113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6" t="s">
        <v>370</v>
      </c>
      <c r="I112" s="2">
        <v>2.6002190034001898E-3</v>
      </c>
      <c r="J112" s="2">
        <v>1.1687507631532E-3</v>
      </c>
      <c r="K112" s="2">
        <v>1.7701513510050399E-3</v>
      </c>
      <c r="L112" s="2">
        <v>2.6267470390078001E-3</v>
      </c>
      <c r="M112" s="2">
        <v>2.2013072157323001E-3</v>
      </c>
      <c r="N112" s="2">
        <v>2.2120768225040699E-3</v>
      </c>
      <c r="O112" s="6">
        <f t="shared" si="3"/>
        <v>0.31703309284808406</v>
      </c>
      <c r="P112" s="2">
        <v>1.5304443235623199E-3</v>
      </c>
      <c r="Q112" s="2">
        <v>1.4973910482786301E-3</v>
      </c>
      <c r="R112" s="7">
        <f t="shared" si="4"/>
        <v>1.8463737058528097E-3</v>
      </c>
      <c r="S112" s="7">
        <f t="shared" si="5"/>
        <v>7.1877167184221857E-4</v>
      </c>
      <c r="T112" s="7">
        <f t="shared" si="6"/>
        <v>2.3467103590813902E-3</v>
      </c>
      <c r="U112" s="7">
        <f t="shared" si="7"/>
        <v>2.4257865257614817E-4</v>
      </c>
    </row>
    <row r="113" spans="1:17" x14ac:dyDescent="0.2">
      <c r="H113" s="6" t="s">
        <v>370</v>
      </c>
      <c r="O113" s="6" t="s">
        <v>370</v>
      </c>
    </row>
    <row r="114" spans="1:17" x14ac:dyDescent="0.2">
      <c r="A114" s="1" t="s">
        <v>114</v>
      </c>
      <c r="B114" s="2">
        <v>1</v>
      </c>
      <c r="C114" s="2">
        <v>1</v>
      </c>
      <c r="D114" s="2">
        <v>1</v>
      </c>
      <c r="E114" s="2">
        <v>1</v>
      </c>
      <c r="F114" s="2">
        <v>1</v>
      </c>
      <c r="G114" s="2">
        <v>1</v>
      </c>
      <c r="H114" s="6" t="s">
        <v>370</v>
      </c>
      <c r="I114" s="2">
        <v>1</v>
      </c>
      <c r="J114" s="2">
        <v>1</v>
      </c>
      <c r="K114" s="2">
        <v>1</v>
      </c>
      <c r="L114" s="2">
        <v>1</v>
      </c>
      <c r="M114" s="2">
        <v>1</v>
      </c>
      <c r="N114" s="2">
        <v>1</v>
      </c>
      <c r="O114" s="6" t="s">
        <v>370</v>
      </c>
      <c r="P114" s="2">
        <v>1</v>
      </c>
      <c r="Q114" s="2">
        <v>1</v>
      </c>
    </row>
    <row r="115" spans="1:17" x14ac:dyDescent="0.2">
      <c r="A115" s="1" t="s">
        <v>115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6" t="s">
        <v>370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6" t="s">
        <v>370</v>
      </c>
      <c r="P115" s="2">
        <v>0</v>
      </c>
      <c r="Q115" s="2">
        <v>0</v>
      </c>
    </row>
    <row r="116" spans="1:17" x14ac:dyDescent="0.2">
      <c r="A116" s="1" t="s">
        <v>116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6" t="s">
        <v>370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6" t="s">
        <v>370</v>
      </c>
      <c r="P116" s="2">
        <v>0</v>
      </c>
      <c r="Q116" s="2">
        <v>0</v>
      </c>
    </row>
    <row r="117" spans="1:17" x14ac:dyDescent="0.2">
      <c r="A117" s="1" t="s">
        <v>117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6" t="s">
        <v>370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6" t="s">
        <v>370</v>
      </c>
      <c r="P117" s="2">
        <v>0</v>
      </c>
      <c r="Q117" s="2">
        <v>0</v>
      </c>
    </row>
    <row r="118" spans="1:17" x14ac:dyDescent="0.2">
      <c r="A118" s="1" t="s">
        <v>118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6" t="s">
        <v>370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6" t="s">
        <v>370</v>
      </c>
      <c r="P118" s="2">
        <v>0</v>
      </c>
      <c r="Q118" s="2">
        <v>0</v>
      </c>
    </row>
    <row r="119" spans="1:17" x14ac:dyDescent="0.2">
      <c r="A119" s="1" t="s">
        <v>119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6" t="s">
        <v>370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6" t="s">
        <v>370</v>
      </c>
      <c r="P119" s="2">
        <v>0</v>
      </c>
      <c r="Q119" s="2">
        <v>0</v>
      </c>
    </row>
    <row r="120" spans="1:17" x14ac:dyDescent="0.2">
      <c r="A120" s="1" t="s">
        <v>120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6" t="s">
        <v>370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6" t="s">
        <v>370</v>
      </c>
      <c r="P120" s="2">
        <v>0</v>
      </c>
      <c r="Q120" s="2">
        <v>0</v>
      </c>
    </row>
    <row r="121" spans="1:17" x14ac:dyDescent="0.2">
      <c r="A121" s="1" t="s">
        <v>121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6" t="s">
        <v>370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6" t="s">
        <v>370</v>
      </c>
      <c r="P121" s="2">
        <v>0</v>
      </c>
      <c r="Q121" s="2">
        <v>0</v>
      </c>
    </row>
    <row r="122" spans="1:17" x14ac:dyDescent="0.2">
      <c r="A122" s="1" t="s">
        <v>122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6" t="s">
        <v>370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6" t="s">
        <v>371</v>
      </c>
      <c r="P122" s="2">
        <v>0</v>
      </c>
      <c r="Q122" s="2">
        <v>0</v>
      </c>
    </row>
    <row r="123" spans="1:17" x14ac:dyDescent="0.2">
      <c r="A123" s="1" t="s">
        <v>123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6" t="s">
        <v>370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6" t="s">
        <v>370</v>
      </c>
      <c r="P123" s="2">
        <v>0</v>
      </c>
      <c r="Q123" s="2">
        <v>0</v>
      </c>
    </row>
    <row r="124" spans="1:17" x14ac:dyDescent="0.2">
      <c r="H124" s="6" t="s">
        <v>370</v>
      </c>
      <c r="O124" s="6" t="s">
        <v>370</v>
      </c>
    </row>
    <row r="125" spans="1:17" x14ac:dyDescent="0.2">
      <c r="A125" s="1" t="s">
        <v>124</v>
      </c>
      <c r="B125" s="2">
        <v>0.95771747066357205</v>
      </c>
      <c r="C125" s="2">
        <v>0.95543769233713505</v>
      </c>
      <c r="D125" s="2">
        <v>0.95678379501880295</v>
      </c>
      <c r="E125" s="2">
        <v>0.95905371841298004</v>
      </c>
      <c r="F125" s="2">
        <v>0.96603058609064596</v>
      </c>
      <c r="G125" s="2">
        <v>0.96011961549499103</v>
      </c>
      <c r="H125" s="6">
        <f t="shared" si="2"/>
        <v>8.8328973906510608E-2</v>
      </c>
      <c r="I125" s="2">
        <v>0.76134267821557899</v>
      </c>
      <c r="J125" s="2">
        <v>0.768562466617426</v>
      </c>
      <c r="K125" s="2">
        <v>0.77929226067425095</v>
      </c>
      <c r="L125" s="2">
        <v>0.782305811275401</v>
      </c>
      <c r="M125" s="2">
        <v>0.78190701590566303</v>
      </c>
      <c r="N125" s="2">
        <v>0.77693411171134696</v>
      </c>
      <c r="O125" s="6">
        <f t="shared" si="3"/>
        <v>0.12456654922569864</v>
      </c>
      <c r="P125" s="2">
        <v>0.94144258843222695</v>
      </c>
      <c r="Q125" s="2">
        <v>0.95288753703615603</v>
      </c>
    </row>
    <row r="126" spans="1:17" x14ac:dyDescent="0.2">
      <c r="A126" s="1" t="s">
        <v>125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6" t="s">
        <v>370</v>
      </c>
      <c r="I126" s="2">
        <v>0.19818560247745401</v>
      </c>
      <c r="J126" s="2">
        <v>0.192489551346162</v>
      </c>
      <c r="K126" s="2">
        <v>0.18850072455001499</v>
      </c>
      <c r="L126" s="2">
        <v>0.18044097120623001</v>
      </c>
      <c r="M126" s="2">
        <v>0.17959523190943999</v>
      </c>
      <c r="N126" s="2">
        <v>0.189525003949812</v>
      </c>
      <c r="O126" s="6" t="s">
        <v>370</v>
      </c>
      <c r="P126" s="2">
        <v>0</v>
      </c>
      <c r="Q126" s="2">
        <v>0</v>
      </c>
    </row>
    <row r="127" spans="1:17" x14ac:dyDescent="0.2">
      <c r="A127" s="1" t="s">
        <v>126</v>
      </c>
      <c r="B127" s="2">
        <v>1.1211101005049601E-2</v>
      </c>
      <c r="C127" s="2">
        <v>1.8628268337650401E-2</v>
      </c>
      <c r="D127" s="2">
        <v>1.3200380078297E-2</v>
      </c>
      <c r="E127" s="2">
        <v>1.23398725466099E-2</v>
      </c>
      <c r="F127" s="2">
        <v>3.0136033993514101E-3</v>
      </c>
      <c r="G127" s="2">
        <v>1.1962347934226601E-2</v>
      </c>
      <c r="H127" s="6">
        <f t="shared" si="2"/>
        <v>0.23665987256560003</v>
      </c>
      <c r="I127" s="2">
        <v>1.9125065436349901E-2</v>
      </c>
      <c r="J127" s="2">
        <v>2.0376017777315899E-2</v>
      </c>
      <c r="K127" s="2">
        <v>1.6140288558788098E-2</v>
      </c>
      <c r="L127" s="2">
        <v>2.1716622747368901E-2</v>
      </c>
      <c r="M127" s="2">
        <v>2.3978813252701198E-2</v>
      </c>
      <c r="N127" s="2">
        <v>1.9084269299334902E-2</v>
      </c>
      <c r="O127" s="6">
        <f t="shared" si="3"/>
        <v>0.18264445702314205</v>
      </c>
      <c r="P127" s="2">
        <v>3.3809788400161599E-2</v>
      </c>
      <c r="Q127" s="2">
        <v>2.3133326742671202E-2</v>
      </c>
    </row>
    <row r="128" spans="1:17" x14ac:dyDescent="0.2">
      <c r="A128" s="1" t="s">
        <v>127</v>
      </c>
      <c r="B128" s="2">
        <v>1.6292613287509E-2</v>
      </c>
      <c r="C128" s="2">
        <v>1.2650872018237599E-2</v>
      </c>
      <c r="D128" s="2">
        <v>1.75055807251959E-2</v>
      </c>
      <c r="E128" s="2">
        <v>1.41677292636111E-2</v>
      </c>
      <c r="F128" s="2">
        <v>1.73973968762683E-2</v>
      </c>
      <c r="G128" s="2">
        <v>1.4078547624733E-2</v>
      </c>
      <c r="H128" s="6">
        <f t="shared" si="2"/>
        <v>0.88998848368221695</v>
      </c>
      <c r="I128" s="2">
        <v>1.5015785215303E-2</v>
      </c>
      <c r="J128" s="2">
        <v>1.23502414057885E-2</v>
      </c>
      <c r="K128" s="2">
        <v>1.0730414270861599E-2</v>
      </c>
      <c r="L128" s="2">
        <v>1.02891376998817E-2</v>
      </c>
      <c r="M128" s="2">
        <v>1.02457818001135E-2</v>
      </c>
      <c r="N128" s="2">
        <v>9.6837525179519907E-3</v>
      </c>
      <c r="O128" s="6">
        <f t="shared" si="3"/>
        <v>0.10640982780006229</v>
      </c>
      <c r="P128" s="2">
        <v>1.54525041393428E-2</v>
      </c>
      <c r="Q128" s="2">
        <v>1.2985099899244601E-2</v>
      </c>
    </row>
    <row r="129" spans="1:17" x14ac:dyDescent="0.2">
      <c r="A129" s="1" t="s">
        <v>128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6" t="s">
        <v>370</v>
      </c>
      <c r="I129" s="2">
        <v>6.3308686553137997E-3</v>
      </c>
      <c r="J129" s="2">
        <v>6.2217228533073604E-3</v>
      </c>
      <c r="K129" s="2">
        <v>0</v>
      </c>
      <c r="L129" s="2">
        <v>0</v>
      </c>
      <c r="M129" s="2">
        <v>4.2731571320819197E-3</v>
      </c>
      <c r="N129" s="2">
        <v>4.7728625215544603E-3</v>
      </c>
      <c r="O129" s="6">
        <f t="shared" si="3"/>
        <v>0.67434829998400203</v>
      </c>
      <c r="P129" s="2">
        <v>0</v>
      </c>
      <c r="Q129" s="2">
        <v>0</v>
      </c>
    </row>
    <row r="130" spans="1:17" x14ac:dyDescent="0.2">
      <c r="A130" s="1" t="s">
        <v>129</v>
      </c>
      <c r="B130" s="2">
        <v>1.47788150438693E-2</v>
      </c>
      <c r="C130" s="2">
        <v>1.3283167306976901E-2</v>
      </c>
      <c r="D130" s="2">
        <v>1.2510244177704501E-2</v>
      </c>
      <c r="E130" s="2">
        <v>1.44386797767991E-2</v>
      </c>
      <c r="F130" s="2">
        <v>1.35584136337339E-2</v>
      </c>
      <c r="G130" s="2">
        <v>1.3839488946049E-2</v>
      </c>
      <c r="H130" s="6">
        <f t="shared" si="2"/>
        <v>0.58708406317024753</v>
      </c>
      <c r="I130" s="2">
        <v>0</v>
      </c>
      <c r="J130" s="2">
        <v>0</v>
      </c>
      <c r="K130" s="2">
        <v>5.3363119460839601E-3</v>
      </c>
      <c r="L130" s="2">
        <v>5.2474570711190001E-3</v>
      </c>
      <c r="M130" s="2">
        <v>0</v>
      </c>
      <c r="N130" s="2">
        <v>0</v>
      </c>
      <c r="O130" s="6">
        <f t="shared" si="3"/>
        <v>0.99109591882686043</v>
      </c>
      <c r="P130" s="2">
        <v>9.2951190282686696E-3</v>
      </c>
      <c r="Q130" s="2">
        <v>1.09940363219285E-2</v>
      </c>
    </row>
    <row r="131" spans="1:17" x14ac:dyDescent="0.2">
      <c r="A131" s="1" t="s">
        <v>130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6" t="s">
        <v>370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6" t="s">
        <v>370</v>
      </c>
      <c r="P131" s="2">
        <v>0</v>
      </c>
      <c r="Q131" s="2">
        <v>0</v>
      </c>
    </row>
    <row r="132" spans="1:17" x14ac:dyDescent="0.2">
      <c r="A132" s="1" t="s">
        <v>131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6" t="s">
        <v>370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6" t="s">
        <v>370</v>
      </c>
      <c r="P132" s="2">
        <v>0</v>
      </c>
      <c r="Q132" s="2">
        <v>0</v>
      </c>
    </row>
    <row r="133" spans="1:17" x14ac:dyDescent="0.2">
      <c r="A133" s="1" t="s">
        <v>132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6" t="s">
        <v>370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6" t="s">
        <v>370</v>
      </c>
      <c r="P133" s="2">
        <v>0</v>
      </c>
      <c r="Q133" s="2">
        <v>0</v>
      </c>
    </row>
    <row r="134" spans="1:17" x14ac:dyDescent="0.2">
      <c r="A134" s="1" t="s">
        <v>133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6" t="s">
        <v>370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6" t="s">
        <v>370</v>
      </c>
      <c r="P134" s="2">
        <v>0</v>
      </c>
      <c r="Q134" s="2">
        <v>0</v>
      </c>
    </row>
    <row r="135" spans="1:17" x14ac:dyDescent="0.2">
      <c r="H135" s="6" t="s">
        <v>370</v>
      </c>
      <c r="O135" s="6" t="s">
        <v>370</v>
      </c>
    </row>
    <row r="136" spans="1:17" x14ac:dyDescent="0.2">
      <c r="A136" s="1" t="s">
        <v>134</v>
      </c>
      <c r="B136" s="2">
        <v>0.52813128587439295</v>
      </c>
      <c r="C136" s="2">
        <v>0.482604517085433</v>
      </c>
      <c r="D136" s="2">
        <v>0.45952565285078101</v>
      </c>
      <c r="E136" s="2">
        <v>0.48379571340796801</v>
      </c>
      <c r="F136" s="2">
        <v>0.48058917290289199</v>
      </c>
      <c r="G136" s="2">
        <v>0.50599992199624799</v>
      </c>
      <c r="H136" s="6">
        <f t="shared" ref="H136:H189" si="8">TTEST(B136:D136,E136:G136,2,2)</f>
        <v>0.99857763428913859</v>
      </c>
      <c r="I136" s="2">
        <v>1</v>
      </c>
      <c r="J136" s="2">
        <v>0.98990346334938994</v>
      </c>
      <c r="K136" s="2">
        <v>1</v>
      </c>
      <c r="L136" s="2">
        <v>1</v>
      </c>
      <c r="M136" s="2">
        <v>1</v>
      </c>
      <c r="N136" s="2">
        <v>1</v>
      </c>
      <c r="O136" s="6">
        <f t="shared" ref="O136:O189" si="9">TTEST(I136:K136,L136:N136,2,2)</f>
        <v>0.37390096630006375</v>
      </c>
      <c r="P136" s="2">
        <v>0.73975186327535802</v>
      </c>
      <c r="Q136" s="2">
        <v>0.72495856318079299</v>
      </c>
    </row>
    <row r="137" spans="1:17" x14ac:dyDescent="0.2">
      <c r="A137" s="1" t="s">
        <v>135</v>
      </c>
      <c r="B137" s="2">
        <v>0</v>
      </c>
      <c r="C137" s="2">
        <v>0</v>
      </c>
      <c r="D137" s="2">
        <v>2.4079337820599898E-3</v>
      </c>
      <c r="E137" s="2">
        <v>0</v>
      </c>
      <c r="F137" s="2">
        <v>0</v>
      </c>
      <c r="G137" s="2">
        <v>0</v>
      </c>
      <c r="H137" s="6">
        <f t="shared" si="8"/>
        <v>0.37390096630005903</v>
      </c>
      <c r="I137" s="2">
        <v>0</v>
      </c>
      <c r="J137" s="2">
        <v>1.00965366506097E-2</v>
      </c>
      <c r="K137" s="2">
        <v>0</v>
      </c>
      <c r="L137" s="2">
        <v>0</v>
      </c>
      <c r="M137" s="2">
        <v>0</v>
      </c>
      <c r="N137" s="2">
        <v>0</v>
      </c>
      <c r="O137" s="6" t="s">
        <v>370</v>
      </c>
      <c r="P137" s="2">
        <v>5.5816935017532099E-4</v>
      </c>
      <c r="Q137" s="2">
        <v>0</v>
      </c>
    </row>
    <row r="138" spans="1:17" x14ac:dyDescent="0.2">
      <c r="A138" s="1" t="s">
        <v>136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6" t="s">
        <v>370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6" t="s">
        <v>370</v>
      </c>
      <c r="P138" s="2">
        <v>0</v>
      </c>
      <c r="Q138" s="2">
        <v>0</v>
      </c>
    </row>
    <row r="139" spans="1:17" x14ac:dyDescent="0.2">
      <c r="A139" s="1" t="s">
        <v>137</v>
      </c>
      <c r="B139" s="2">
        <v>0.47186871412560699</v>
      </c>
      <c r="C139" s="2">
        <v>0.51739548291456705</v>
      </c>
      <c r="D139" s="2">
        <v>0.53806641336715899</v>
      </c>
      <c r="E139" s="2">
        <v>0.51620428659203199</v>
      </c>
      <c r="F139" s="2">
        <v>0.51941082709710795</v>
      </c>
      <c r="G139" s="2">
        <v>0.49400007800375201</v>
      </c>
      <c r="H139" s="6">
        <f t="shared" si="8"/>
        <v>0.97296806567238669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6" t="s">
        <v>370</v>
      </c>
      <c r="P139" s="2">
        <v>0.25968996737446698</v>
      </c>
      <c r="Q139" s="2">
        <v>0.27504143681920701</v>
      </c>
    </row>
    <row r="140" spans="1:17" x14ac:dyDescent="0.2">
      <c r="H140" s="6" t="s">
        <v>370</v>
      </c>
      <c r="O140" s="6" t="s">
        <v>370</v>
      </c>
    </row>
    <row r="141" spans="1:17" x14ac:dyDescent="0.2">
      <c r="A141" s="1" t="s">
        <v>138</v>
      </c>
      <c r="B141" s="2">
        <v>1</v>
      </c>
      <c r="C141" s="2">
        <v>1</v>
      </c>
      <c r="D141" s="2">
        <v>1</v>
      </c>
      <c r="E141" s="2">
        <v>1</v>
      </c>
      <c r="F141" s="2">
        <v>1</v>
      </c>
      <c r="G141" s="2">
        <v>1</v>
      </c>
      <c r="H141" s="6" t="s">
        <v>370</v>
      </c>
      <c r="I141" s="2">
        <v>1</v>
      </c>
      <c r="J141" s="2">
        <v>1</v>
      </c>
      <c r="K141" s="2">
        <v>1</v>
      </c>
      <c r="L141" s="2">
        <v>1</v>
      </c>
      <c r="M141" s="2">
        <v>1</v>
      </c>
      <c r="N141" s="2">
        <v>1</v>
      </c>
      <c r="O141" s="6" t="s">
        <v>370</v>
      </c>
      <c r="P141" s="2">
        <v>1</v>
      </c>
      <c r="Q141" s="2">
        <v>1</v>
      </c>
    </row>
    <row r="142" spans="1:17" x14ac:dyDescent="0.2">
      <c r="A142" s="1" t="s">
        <v>139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6" t="s">
        <v>370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6" t="s">
        <v>370</v>
      </c>
      <c r="P142" s="2">
        <v>0</v>
      </c>
      <c r="Q142" s="2">
        <v>0</v>
      </c>
    </row>
    <row r="143" spans="1:17" x14ac:dyDescent="0.2">
      <c r="A143" s="1" t="s">
        <v>140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6" t="s">
        <v>370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6" t="s">
        <v>370</v>
      </c>
      <c r="P143" s="2">
        <v>0</v>
      </c>
      <c r="Q143" s="2">
        <v>0</v>
      </c>
    </row>
    <row r="144" spans="1:17" x14ac:dyDescent="0.2">
      <c r="A144" s="1" t="s">
        <v>141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6" t="s">
        <v>370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6" t="s">
        <v>370</v>
      </c>
      <c r="P144" s="2">
        <v>0</v>
      </c>
      <c r="Q144" s="2">
        <v>0</v>
      </c>
    </row>
    <row r="145" spans="1:17" x14ac:dyDescent="0.2">
      <c r="A145" s="1" t="s">
        <v>142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6" t="s">
        <v>370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6" t="s">
        <v>370</v>
      </c>
      <c r="P145" s="2">
        <v>0</v>
      </c>
      <c r="Q145" s="2">
        <v>0</v>
      </c>
    </row>
    <row r="146" spans="1:17" x14ac:dyDescent="0.2">
      <c r="A146" s="1" t="s">
        <v>143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6" t="s">
        <v>370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6" t="s">
        <v>370</v>
      </c>
      <c r="P146" s="2">
        <v>0</v>
      </c>
      <c r="Q146" s="2">
        <v>0</v>
      </c>
    </row>
    <row r="147" spans="1:17" x14ac:dyDescent="0.2">
      <c r="A147" s="1" t="s">
        <v>144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6" t="s">
        <v>370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6" t="s">
        <v>370</v>
      </c>
      <c r="P147" s="2">
        <v>0</v>
      </c>
      <c r="Q147" s="2">
        <v>0</v>
      </c>
    </row>
    <row r="148" spans="1:17" x14ac:dyDescent="0.2">
      <c r="A148" s="1" t="s">
        <v>145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6" t="s">
        <v>370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6" t="s">
        <v>370</v>
      </c>
      <c r="P148" s="2">
        <v>0</v>
      </c>
      <c r="Q148" s="2">
        <v>0</v>
      </c>
    </row>
    <row r="149" spans="1:17" x14ac:dyDescent="0.2">
      <c r="A149" s="1" t="s">
        <v>146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6" t="s">
        <v>370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6" t="s">
        <v>370</v>
      </c>
      <c r="P149" s="2">
        <v>0</v>
      </c>
      <c r="Q149" s="2">
        <v>0</v>
      </c>
    </row>
    <row r="150" spans="1:17" x14ac:dyDescent="0.2">
      <c r="A150" s="1" t="s">
        <v>147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6" t="s">
        <v>370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6" t="s">
        <v>370</v>
      </c>
      <c r="P150" s="2">
        <v>0</v>
      </c>
      <c r="Q150" s="2">
        <v>0</v>
      </c>
    </row>
    <row r="151" spans="1:17" x14ac:dyDescent="0.2">
      <c r="A151" s="1" t="s">
        <v>148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6" t="s">
        <v>370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6" t="s">
        <v>370</v>
      </c>
      <c r="P151" s="2">
        <v>0</v>
      </c>
      <c r="Q151" s="2">
        <v>0</v>
      </c>
    </row>
    <row r="152" spans="1:17" x14ac:dyDescent="0.2">
      <c r="H152" s="6" t="s">
        <v>370</v>
      </c>
      <c r="O152" s="6" t="s">
        <v>370</v>
      </c>
    </row>
    <row r="153" spans="1:17" x14ac:dyDescent="0.2">
      <c r="A153" s="1" t="s">
        <v>149</v>
      </c>
      <c r="B153" s="2">
        <v>0.98435809479457403</v>
      </c>
      <c r="C153" s="2">
        <v>0.94694538429560404</v>
      </c>
      <c r="D153" s="2">
        <v>0.93627313771950105</v>
      </c>
      <c r="E153" s="2">
        <v>0.96781045296063695</v>
      </c>
      <c r="F153" s="2">
        <v>0.97408753342498999</v>
      </c>
      <c r="G153" s="2">
        <v>0.94296994058615002</v>
      </c>
      <c r="H153" s="6">
        <f t="shared" si="8"/>
        <v>0.75710005783733503</v>
      </c>
      <c r="I153" s="2">
        <v>0.94923393605152595</v>
      </c>
      <c r="J153" s="2">
        <v>0.92385175799211705</v>
      </c>
      <c r="K153" s="2">
        <v>0.94885764258274996</v>
      </c>
      <c r="L153" s="2">
        <v>0.95346712696156399</v>
      </c>
      <c r="M153" s="2">
        <v>0.94659576914270205</v>
      </c>
      <c r="N153" s="2">
        <v>0.93900746558707504</v>
      </c>
      <c r="O153" s="6">
        <f t="shared" si="9"/>
        <v>0.57561771280984064</v>
      </c>
      <c r="P153" s="2">
        <v>0.948227628068808</v>
      </c>
      <c r="Q153" s="2">
        <v>0.93153998267662497</v>
      </c>
    </row>
    <row r="154" spans="1:17" x14ac:dyDescent="0.2">
      <c r="A154" s="1" t="s">
        <v>150</v>
      </c>
      <c r="B154" s="2">
        <v>1.5641905205426101E-2</v>
      </c>
      <c r="C154" s="2">
        <v>5.3054615704396298E-2</v>
      </c>
      <c r="D154" s="2">
        <v>6.3726862280498398E-2</v>
      </c>
      <c r="E154" s="2">
        <v>3.2189547039363602E-2</v>
      </c>
      <c r="F154" s="2">
        <v>2.5912466575010399E-2</v>
      </c>
      <c r="G154" s="2">
        <v>5.7030059413849601E-2</v>
      </c>
      <c r="H154" s="6">
        <f t="shared" si="8"/>
        <v>0.75710005783734546</v>
      </c>
      <c r="I154" s="2">
        <v>5.0766063948474001E-2</v>
      </c>
      <c r="J154" s="2">
        <v>7.6148242007883296E-2</v>
      </c>
      <c r="K154" s="2">
        <v>5.1142357417250303E-2</v>
      </c>
      <c r="L154" s="2">
        <v>4.6532873038435903E-2</v>
      </c>
      <c r="M154" s="2">
        <v>5.3404230857297903E-2</v>
      </c>
      <c r="N154" s="2">
        <v>6.0992534412924598E-2</v>
      </c>
      <c r="O154" s="6">
        <f t="shared" si="9"/>
        <v>0.57561771280982443</v>
      </c>
      <c r="P154" s="2">
        <v>5.1772371931192003E-2</v>
      </c>
      <c r="Q154" s="2">
        <v>6.8460017323375102E-2</v>
      </c>
    </row>
    <row r="155" spans="1:17" x14ac:dyDescent="0.2">
      <c r="A155" s="1" t="s">
        <v>151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6" t="s">
        <v>370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6" t="s">
        <v>370</v>
      </c>
      <c r="P155" s="2">
        <v>0</v>
      </c>
      <c r="Q155" s="2">
        <v>0</v>
      </c>
    </row>
    <row r="156" spans="1:17" x14ac:dyDescent="0.2">
      <c r="A156" s="1" t="s">
        <v>152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6" t="s">
        <v>370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6" t="s">
        <v>370</v>
      </c>
      <c r="P156" s="2">
        <v>0</v>
      </c>
      <c r="Q156" s="2">
        <v>0</v>
      </c>
    </row>
    <row r="157" spans="1:17" x14ac:dyDescent="0.2">
      <c r="A157" s="1" t="s">
        <v>153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6" t="s">
        <v>370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6" t="s">
        <v>370</v>
      </c>
      <c r="P157" s="2">
        <v>0</v>
      </c>
      <c r="Q157" s="2">
        <v>0</v>
      </c>
    </row>
    <row r="158" spans="1:17" x14ac:dyDescent="0.2">
      <c r="A158" s="1" t="s">
        <v>154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6" t="s">
        <v>370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6" t="s">
        <v>370</v>
      </c>
      <c r="P158" s="2">
        <v>0</v>
      </c>
      <c r="Q158" s="2">
        <v>0</v>
      </c>
    </row>
    <row r="159" spans="1:17" x14ac:dyDescent="0.2">
      <c r="A159" s="1" t="s">
        <v>155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6" t="s">
        <v>370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6" t="s">
        <v>370</v>
      </c>
      <c r="P159" s="2">
        <v>0</v>
      </c>
      <c r="Q159" s="2">
        <v>0</v>
      </c>
    </row>
    <row r="160" spans="1:17" x14ac:dyDescent="0.2">
      <c r="A160" s="1" t="s">
        <v>156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6" t="s">
        <v>370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6" t="s">
        <v>370</v>
      </c>
      <c r="P160" s="2">
        <v>0</v>
      </c>
      <c r="Q160" s="2">
        <v>0</v>
      </c>
    </row>
    <row r="161" spans="1:17" x14ac:dyDescent="0.2">
      <c r="A161" s="1" t="s">
        <v>157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6" t="s">
        <v>370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6" t="s">
        <v>370</v>
      </c>
      <c r="P161" s="2">
        <v>0</v>
      </c>
      <c r="Q161" s="2">
        <v>0</v>
      </c>
    </row>
    <row r="162" spans="1:17" x14ac:dyDescent="0.2">
      <c r="A162" s="1" t="s">
        <v>158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6" t="s">
        <v>370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6" t="s">
        <v>370</v>
      </c>
      <c r="P162" s="2">
        <v>0</v>
      </c>
      <c r="Q162" s="2">
        <v>0</v>
      </c>
    </row>
    <row r="163" spans="1:17" x14ac:dyDescent="0.2">
      <c r="A163" s="1" t="s">
        <v>159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6" t="s">
        <v>370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6" t="s">
        <v>370</v>
      </c>
      <c r="P163" s="2">
        <v>0</v>
      </c>
      <c r="Q163" s="2">
        <v>0</v>
      </c>
    </row>
    <row r="164" spans="1:17" x14ac:dyDescent="0.2">
      <c r="H164" s="6" t="s">
        <v>370</v>
      </c>
      <c r="O164" s="6" t="s">
        <v>370</v>
      </c>
    </row>
    <row r="165" spans="1:17" x14ac:dyDescent="0.2">
      <c r="A165" s="1" t="s">
        <v>160</v>
      </c>
      <c r="B165" s="2">
        <v>0.34277955137829103</v>
      </c>
      <c r="C165" s="2">
        <v>0.38107758819125798</v>
      </c>
      <c r="D165" s="2">
        <v>0.36720900642648102</v>
      </c>
      <c r="E165" s="2">
        <v>0.38483464924204303</v>
      </c>
      <c r="F165" s="2">
        <v>0.37151083123975598</v>
      </c>
      <c r="G165" s="2">
        <v>0.40081351751333799</v>
      </c>
      <c r="H165" s="6">
        <f t="shared" si="8"/>
        <v>0.19165217049972913</v>
      </c>
      <c r="I165" s="2">
        <v>0.97596172400344605</v>
      </c>
      <c r="J165" s="2">
        <v>0.98977861167960002</v>
      </c>
      <c r="K165" s="2">
        <v>0.97549642110874701</v>
      </c>
      <c r="L165" s="2">
        <v>1</v>
      </c>
      <c r="M165" s="2">
        <v>1</v>
      </c>
      <c r="N165" s="2">
        <v>1</v>
      </c>
      <c r="O165" s="6">
        <f t="shared" si="9"/>
        <v>1.3908705088720875E-2</v>
      </c>
      <c r="P165" s="2">
        <v>0.68685754190443804</v>
      </c>
      <c r="Q165" s="2">
        <v>0.700774941166454</v>
      </c>
    </row>
    <row r="166" spans="1:17" x14ac:dyDescent="0.2">
      <c r="A166" s="1" t="s">
        <v>161</v>
      </c>
      <c r="B166" s="2">
        <v>3.42892388475283E-3</v>
      </c>
      <c r="C166" s="2">
        <v>0</v>
      </c>
      <c r="D166" s="2">
        <v>0</v>
      </c>
      <c r="E166" s="2">
        <v>0</v>
      </c>
      <c r="F166" s="2">
        <v>7.9313599394791896E-3</v>
      </c>
      <c r="G166" s="2">
        <v>0</v>
      </c>
      <c r="H166" s="6">
        <f t="shared" si="8"/>
        <v>0.62983782760857987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6" t="s">
        <v>370</v>
      </c>
      <c r="P166" s="2">
        <v>0</v>
      </c>
      <c r="Q166" s="2">
        <v>0</v>
      </c>
    </row>
    <row r="167" spans="1:17" x14ac:dyDescent="0.2">
      <c r="A167" s="1" t="s">
        <v>162</v>
      </c>
      <c r="B167" s="2">
        <v>1.39239712009515E-2</v>
      </c>
      <c r="C167" s="2">
        <v>2.7533261297617701E-2</v>
      </c>
      <c r="D167" s="2">
        <v>1.5361584814780499E-2</v>
      </c>
      <c r="E167" s="2">
        <v>2.4166442261777801E-2</v>
      </c>
      <c r="F167" s="2">
        <v>1.19202395511562E-2</v>
      </c>
      <c r="G167" s="2">
        <v>1.6553838677265401E-2</v>
      </c>
      <c r="H167" s="6">
        <f t="shared" si="8"/>
        <v>0.81588839700019156</v>
      </c>
      <c r="I167" s="2">
        <v>2.4038275996554299E-2</v>
      </c>
      <c r="J167" s="2">
        <v>1.0221388320399699E-2</v>
      </c>
      <c r="K167" s="2">
        <v>2.45035788912535E-2</v>
      </c>
      <c r="L167" s="2">
        <v>0</v>
      </c>
      <c r="M167" s="2">
        <v>0</v>
      </c>
      <c r="N167" s="2">
        <v>0</v>
      </c>
      <c r="O167" s="6" t="s">
        <v>370</v>
      </c>
      <c r="P167" s="2">
        <v>1.2618932407774799E-2</v>
      </c>
      <c r="Q167" s="2">
        <v>1.80789468663346E-2</v>
      </c>
    </row>
    <row r="168" spans="1:17" x14ac:dyDescent="0.2">
      <c r="A168" s="1" t="s">
        <v>163</v>
      </c>
      <c r="B168" s="2">
        <v>0.24739662947301799</v>
      </c>
      <c r="C168" s="2">
        <v>0.23869820651706999</v>
      </c>
      <c r="D168" s="2">
        <v>0.26634778306876999</v>
      </c>
      <c r="E168" s="2">
        <v>0.25782586727271201</v>
      </c>
      <c r="F168" s="2">
        <v>0.240964907458769</v>
      </c>
      <c r="G168" s="2">
        <v>0.226373821012436</v>
      </c>
      <c r="H168" s="6">
        <f t="shared" si="8"/>
        <v>0.49799809539728856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6" t="s">
        <v>370</v>
      </c>
      <c r="P168" s="2">
        <v>0.110364538954397</v>
      </c>
      <c r="Q168" s="2">
        <v>0.118588162713591</v>
      </c>
    </row>
    <row r="169" spans="1:17" x14ac:dyDescent="0.2">
      <c r="A169" s="1" t="s">
        <v>164</v>
      </c>
      <c r="B169" s="2">
        <v>1.26306567708912E-2</v>
      </c>
      <c r="C169" s="2">
        <v>1.10107200153705E-2</v>
      </c>
      <c r="D169" s="2">
        <v>4.1009847487137796E-3</v>
      </c>
      <c r="E169" s="2">
        <v>6.9757433775113299E-3</v>
      </c>
      <c r="F169" s="2">
        <v>8.7227961209947105E-3</v>
      </c>
      <c r="G169" s="2">
        <v>0</v>
      </c>
      <c r="H169" s="6">
        <f t="shared" si="8"/>
        <v>0.34279814580448559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6" t="s">
        <v>370</v>
      </c>
      <c r="P169" s="2">
        <v>0</v>
      </c>
      <c r="Q169" s="2">
        <v>0</v>
      </c>
    </row>
    <row r="170" spans="1:17" x14ac:dyDescent="0.2">
      <c r="A170" s="1" t="s">
        <v>165</v>
      </c>
      <c r="B170" s="2">
        <v>2.1710835274490602E-2</v>
      </c>
      <c r="C170" s="2">
        <v>2.3654493455773001E-2</v>
      </c>
      <c r="D170" s="2">
        <v>1.6874213213926601E-2</v>
      </c>
      <c r="E170" s="2">
        <v>1.55122866760648E-2</v>
      </c>
      <c r="F170" s="2">
        <v>1.46559416868532E-2</v>
      </c>
      <c r="G170" s="2">
        <v>1.3495180334930299E-2</v>
      </c>
      <c r="H170" s="6">
        <f t="shared" si="8"/>
        <v>4.1960090495795715E-2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6" t="s">
        <v>370</v>
      </c>
      <c r="P170" s="2">
        <v>0</v>
      </c>
      <c r="Q170" s="2">
        <v>1.4379297469382799E-2</v>
      </c>
    </row>
    <row r="171" spans="1:17" x14ac:dyDescent="0.2">
      <c r="A171" s="1" t="s">
        <v>166</v>
      </c>
      <c r="B171" s="2">
        <v>0.358129432017605</v>
      </c>
      <c r="C171" s="2">
        <v>0.318025730522911</v>
      </c>
      <c r="D171" s="2">
        <v>0.33010642772732801</v>
      </c>
      <c r="E171" s="2">
        <v>0.310685011169891</v>
      </c>
      <c r="F171" s="2">
        <v>0.34429392400299103</v>
      </c>
      <c r="G171" s="2">
        <v>0.342763642462031</v>
      </c>
      <c r="H171" s="6">
        <f t="shared" si="8"/>
        <v>0.86904738113039826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6" t="s">
        <v>370</v>
      </c>
      <c r="P171" s="2">
        <v>0.19015898673338999</v>
      </c>
      <c r="Q171" s="2">
        <v>0.148178651784238</v>
      </c>
    </row>
    <row r="172" spans="1:17" x14ac:dyDescent="0.2">
      <c r="H172" s="6" t="s">
        <v>370</v>
      </c>
      <c r="O172" s="6" t="s">
        <v>370</v>
      </c>
    </row>
    <row r="173" spans="1:17" x14ac:dyDescent="0.2">
      <c r="A173" s="1" t="s">
        <v>167</v>
      </c>
      <c r="B173" s="2">
        <v>0.44876039772800702</v>
      </c>
      <c r="C173" s="2">
        <v>0.50124269803869703</v>
      </c>
      <c r="D173" s="2">
        <v>0.54300528047339403</v>
      </c>
      <c r="E173" s="2">
        <v>0.63261669903550499</v>
      </c>
      <c r="F173" s="2">
        <v>0.628862975925776</v>
      </c>
      <c r="G173" s="2">
        <v>0.66166782567383697</v>
      </c>
      <c r="H173" s="6">
        <f t="shared" si="8"/>
        <v>7.954986454146707E-3</v>
      </c>
      <c r="I173" s="2">
        <v>1</v>
      </c>
      <c r="J173" s="2">
        <v>1</v>
      </c>
      <c r="K173" s="2">
        <v>1</v>
      </c>
      <c r="L173" s="2">
        <v>1</v>
      </c>
      <c r="M173" s="2">
        <v>1</v>
      </c>
      <c r="N173" s="2">
        <v>1</v>
      </c>
      <c r="O173" s="6" t="s">
        <v>370</v>
      </c>
      <c r="P173" s="2">
        <v>0.78618804298844702</v>
      </c>
      <c r="Q173" s="2">
        <v>0.81765696593844595</v>
      </c>
    </row>
    <row r="174" spans="1:17" x14ac:dyDescent="0.2">
      <c r="A174" s="1" t="s">
        <v>168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6" t="s">
        <v>370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6" t="s">
        <v>370</v>
      </c>
      <c r="P174" s="2">
        <v>0</v>
      </c>
      <c r="Q174" s="2">
        <v>0</v>
      </c>
    </row>
    <row r="175" spans="1:17" x14ac:dyDescent="0.2">
      <c r="A175" s="1" t="s">
        <v>169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6" t="s">
        <v>370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6" t="s">
        <v>370</v>
      </c>
      <c r="P175" s="2">
        <v>0</v>
      </c>
      <c r="Q175" s="2">
        <v>0</v>
      </c>
    </row>
    <row r="176" spans="1:17" x14ac:dyDescent="0.2">
      <c r="A176" s="1" t="s">
        <v>170</v>
      </c>
      <c r="B176" s="2">
        <v>0.186422559946269</v>
      </c>
      <c r="C176" s="2">
        <v>0.14155140289804</v>
      </c>
      <c r="D176" s="2">
        <v>0.183250405216767</v>
      </c>
      <c r="E176" s="2">
        <v>0.10911357274829001</v>
      </c>
      <c r="F176" s="2">
        <v>0</v>
      </c>
      <c r="G176" s="2">
        <v>0</v>
      </c>
      <c r="H176" s="6">
        <f t="shared" si="8"/>
        <v>2.6666914481150744E-2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6" t="s">
        <v>370</v>
      </c>
      <c r="P176" s="2">
        <v>0</v>
      </c>
      <c r="Q176" s="2">
        <v>0</v>
      </c>
    </row>
    <row r="177" spans="1:17" x14ac:dyDescent="0.2">
      <c r="A177" s="1" t="s">
        <v>171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6" t="s">
        <v>370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6" t="s">
        <v>370</v>
      </c>
      <c r="P177" s="2">
        <v>0</v>
      </c>
      <c r="Q177" s="2">
        <v>0</v>
      </c>
    </row>
    <row r="178" spans="1:17" x14ac:dyDescent="0.2">
      <c r="A178" s="1" t="s">
        <v>172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6" t="s">
        <v>370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6" t="s">
        <v>370</v>
      </c>
      <c r="P178" s="2">
        <v>0</v>
      </c>
      <c r="Q178" s="2">
        <v>0</v>
      </c>
    </row>
    <row r="179" spans="1:17" x14ac:dyDescent="0.2">
      <c r="A179" s="1" t="s">
        <v>173</v>
      </c>
      <c r="B179" s="2">
        <v>0.36481704232572298</v>
      </c>
      <c r="C179" s="2">
        <v>0.357205899063263</v>
      </c>
      <c r="D179" s="2">
        <v>0.27374431430983898</v>
      </c>
      <c r="E179" s="2">
        <v>0.25826972821620497</v>
      </c>
      <c r="F179" s="2">
        <v>0.371137024074224</v>
      </c>
      <c r="G179" s="2">
        <v>0.33833217432616403</v>
      </c>
      <c r="H179" s="6">
        <f t="shared" si="8"/>
        <v>0.84374875227590662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6" t="s">
        <v>370</v>
      </c>
      <c r="P179" s="2">
        <v>0.21381195701155301</v>
      </c>
      <c r="Q179" s="2">
        <v>0.182343034061554</v>
      </c>
    </row>
    <row r="180" spans="1:17" x14ac:dyDescent="0.2">
      <c r="H180" s="6" t="s">
        <v>370</v>
      </c>
      <c r="O180" s="6" t="s">
        <v>370</v>
      </c>
    </row>
    <row r="181" spans="1:17" x14ac:dyDescent="0.2">
      <c r="A181" s="1" t="s">
        <v>174</v>
      </c>
      <c r="B181" s="2">
        <v>1</v>
      </c>
      <c r="C181" s="2">
        <v>1</v>
      </c>
      <c r="D181" s="2">
        <v>0.96952340759346201</v>
      </c>
      <c r="E181" s="2">
        <v>0.95423685262120606</v>
      </c>
      <c r="F181" s="2">
        <v>0.99309751523990697</v>
      </c>
      <c r="G181" s="2">
        <v>1</v>
      </c>
      <c r="H181" s="6">
        <f t="shared" si="8"/>
        <v>0.69421041224381452</v>
      </c>
      <c r="I181" s="2">
        <v>0.74882600886815198</v>
      </c>
      <c r="J181" s="2">
        <v>0.67600217635692605</v>
      </c>
      <c r="K181" s="2">
        <v>0.62909861198487205</v>
      </c>
      <c r="L181" s="2">
        <v>0.65262556286470097</v>
      </c>
      <c r="M181" s="2">
        <v>0.70777211735701695</v>
      </c>
      <c r="N181" s="2">
        <v>0.62305886097866003</v>
      </c>
      <c r="O181" s="6">
        <f t="shared" si="9"/>
        <v>0.61208890037167141</v>
      </c>
      <c r="P181" s="2">
        <v>0.76690840844481001</v>
      </c>
      <c r="Q181" s="2">
        <v>0.81816236412321497</v>
      </c>
    </row>
    <row r="182" spans="1:17" x14ac:dyDescent="0.2">
      <c r="A182" s="1" t="s">
        <v>175</v>
      </c>
      <c r="B182" s="2">
        <v>0</v>
      </c>
      <c r="C182" s="2">
        <v>0</v>
      </c>
      <c r="D182" s="2">
        <v>5.9229882436877598E-3</v>
      </c>
      <c r="E182" s="2">
        <v>0</v>
      </c>
      <c r="F182" s="2">
        <v>6.9024847600932899E-3</v>
      </c>
      <c r="G182" s="2">
        <v>0</v>
      </c>
      <c r="H182" s="6">
        <f t="shared" si="8"/>
        <v>0.91942588798128366</v>
      </c>
      <c r="I182" s="2">
        <v>0</v>
      </c>
      <c r="J182" s="2">
        <v>0</v>
      </c>
      <c r="K182" s="2">
        <v>0</v>
      </c>
      <c r="L182" s="2">
        <v>9.4219019910143104E-3</v>
      </c>
      <c r="M182" s="2">
        <v>0</v>
      </c>
      <c r="N182" s="2">
        <v>0</v>
      </c>
      <c r="O182" s="6" t="s">
        <v>370</v>
      </c>
      <c r="P182" s="2">
        <v>3.16864542410943E-2</v>
      </c>
      <c r="Q182" s="2">
        <v>6.3606320853577198E-3</v>
      </c>
    </row>
    <row r="183" spans="1:17" x14ac:dyDescent="0.2">
      <c r="A183" s="1" t="s">
        <v>176</v>
      </c>
      <c r="B183" s="2">
        <v>0</v>
      </c>
      <c r="C183" s="2">
        <v>0</v>
      </c>
      <c r="D183" s="2">
        <v>2.4553604162849699E-2</v>
      </c>
      <c r="E183" s="2">
        <v>4.5763147378794E-2</v>
      </c>
      <c r="F183" s="2">
        <v>0</v>
      </c>
      <c r="G183" s="2">
        <v>0</v>
      </c>
      <c r="H183" s="6">
        <f t="shared" si="8"/>
        <v>0.70390144874782412</v>
      </c>
      <c r="I183" s="2">
        <v>0</v>
      </c>
      <c r="J183" s="2">
        <v>1.9352718642645001E-2</v>
      </c>
      <c r="K183" s="2">
        <v>3.3875882903522697E-2</v>
      </c>
      <c r="L183" s="2">
        <v>2.83842480008713E-2</v>
      </c>
      <c r="M183" s="2">
        <v>2.54638220309336E-2</v>
      </c>
      <c r="N183" s="2">
        <v>2.51495702328947E-2</v>
      </c>
      <c r="O183" s="6" t="s">
        <v>370</v>
      </c>
      <c r="P183" s="2">
        <v>2.1301265963958101E-2</v>
      </c>
      <c r="Q183" s="2">
        <v>2.20023999293406E-2</v>
      </c>
    </row>
    <row r="184" spans="1:17" x14ac:dyDescent="0.2">
      <c r="A184" s="1" t="s">
        <v>177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6" t="s">
        <v>370</v>
      </c>
      <c r="I184" s="2">
        <v>6.7811934717997499E-2</v>
      </c>
      <c r="J184" s="2">
        <v>5.95034000465983E-2</v>
      </c>
      <c r="K184" s="2">
        <v>9.1001938075174496E-2</v>
      </c>
      <c r="L184" s="2">
        <v>0</v>
      </c>
      <c r="M184" s="2">
        <v>0</v>
      </c>
      <c r="N184" s="2">
        <v>2.2565431608146599E-2</v>
      </c>
      <c r="O184" s="6" t="s">
        <v>370</v>
      </c>
      <c r="P184" s="2">
        <v>2.8954005779973899E-2</v>
      </c>
      <c r="Q184" s="2">
        <v>2.3503240727953099E-2</v>
      </c>
    </row>
    <row r="185" spans="1:17" x14ac:dyDescent="0.2">
      <c r="A185" s="1" t="s">
        <v>178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6" t="s">
        <v>370</v>
      </c>
      <c r="I185" s="2">
        <v>0.183362056413851</v>
      </c>
      <c r="J185" s="2">
        <v>0.245141704953831</v>
      </c>
      <c r="K185" s="2">
        <v>0.246023567036431</v>
      </c>
      <c r="L185" s="2">
        <v>0.309568287143413</v>
      </c>
      <c r="M185" s="2">
        <v>0.26676406061204899</v>
      </c>
      <c r="N185" s="2">
        <v>0.32922613718029903</v>
      </c>
      <c r="O185" s="6">
        <f t="shared" si="9"/>
        <v>5.0081679504215861E-2</v>
      </c>
      <c r="P185" s="2">
        <v>0.15114986557016399</v>
      </c>
      <c r="Q185" s="2">
        <v>0.12997136313413399</v>
      </c>
    </row>
    <row r="186" spans="1:17" x14ac:dyDescent="0.2">
      <c r="H186" s="6" t="s">
        <v>370</v>
      </c>
      <c r="O186" s="6" t="s">
        <v>370</v>
      </c>
    </row>
    <row r="187" spans="1:17" x14ac:dyDescent="0.2">
      <c r="A187" s="1" t="s">
        <v>179</v>
      </c>
      <c r="B187" s="2">
        <v>1</v>
      </c>
      <c r="C187" s="2">
        <v>1</v>
      </c>
      <c r="D187" s="2">
        <v>1</v>
      </c>
      <c r="E187" s="2">
        <v>0.82962732967942898</v>
      </c>
      <c r="F187" s="2">
        <v>1</v>
      </c>
      <c r="G187" s="2">
        <v>1</v>
      </c>
      <c r="H187" s="6">
        <f t="shared" si="8"/>
        <v>0.37390096630005903</v>
      </c>
      <c r="I187" s="2">
        <v>0.76779314765806606</v>
      </c>
      <c r="J187" s="2">
        <v>0.80122297709895496</v>
      </c>
      <c r="K187" s="2">
        <v>0.76371138395668903</v>
      </c>
      <c r="L187" s="2">
        <v>0.95394861900507499</v>
      </c>
      <c r="M187" s="2">
        <v>0.864714465008523</v>
      </c>
      <c r="N187" s="2">
        <v>0.827980240100607</v>
      </c>
      <c r="O187" s="6" t="s">
        <v>370</v>
      </c>
      <c r="P187" s="2">
        <v>0.69386424831042903</v>
      </c>
      <c r="Q187" s="2">
        <v>0.73238309685512504</v>
      </c>
    </row>
    <row r="188" spans="1:17" x14ac:dyDescent="0.2">
      <c r="A188" s="1" t="s">
        <v>180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6" t="s">
        <v>370</v>
      </c>
      <c r="I188" s="2">
        <v>0.13532673309212401</v>
      </c>
      <c r="J188" s="2">
        <v>7.9846744578795606E-2</v>
      </c>
      <c r="K188" s="2">
        <v>0.148487207713214</v>
      </c>
      <c r="L188" s="2">
        <v>4.6051380994924701E-2</v>
      </c>
      <c r="M188" s="2">
        <v>0.135285534991477</v>
      </c>
      <c r="N188" s="2">
        <v>3.2084047243418803E-2</v>
      </c>
      <c r="O188" s="6">
        <f t="shared" si="9"/>
        <v>0.2638952070767554</v>
      </c>
      <c r="P188" s="2">
        <v>0.17363953457412501</v>
      </c>
      <c r="Q188" s="2">
        <v>0.141486263066951</v>
      </c>
    </row>
    <row r="189" spans="1:17" x14ac:dyDescent="0.2">
      <c r="A189" s="1" t="s">
        <v>181</v>
      </c>
      <c r="B189" s="2">
        <v>0</v>
      </c>
      <c r="C189" s="2">
        <v>0</v>
      </c>
      <c r="D189" s="2">
        <v>0</v>
      </c>
      <c r="E189" s="2">
        <v>0.17037267032057099</v>
      </c>
      <c r="F189" s="2">
        <v>0</v>
      </c>
      <c r="G189" s="2">
        <v>0</v>
      </c>
      <c r="H189" s="6">
        <f t="shared" si="8"/>
        <v>0.37390096630005903</v>
      </c>
      <c r="I189" s="2">
        <v>9.6880119249809701E-2</v>
      </c>
      <c r="J189" s="2">
        <v>0.11893027832224901</v>
      </c>
      <c r="K189" s="2">
        <v>8.7801408330097502E-2</v>
      </c>
      <c r="L189" s="2">
        <v>0</v>
      </c>
      <c r="M189" s="2">
        <v>0</v>
      </c>
      <c r="N189" s="2">
        <v>0.13993571265597399</v>
      </c>
      <c r="O189" s="6">
        <f t="shared" si="9"/>
        <v>0.31519786903216518</v>
      </c>
      <c r="P189" s="2">
        <v>0.13249621711544601</v>
      </c>
      <c r="Q189" s="2">
        <v>0.12613064007792499</v>
      </c>
    </row>
    <row r="190" spans="1:17" x14ac:dyDescent="0.2">
      <c r="A190" s="1" t="s">
        <v>182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6" t="s">
        <v>370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6" t="s">
        <v>370</v>
      </c>
      <c r="P190" s="2">
        <v>0</v>
      </c>
      <c r="Q190" s="2">
        <v>0</v>
      </c>
    </row>
    <row r="191" spans="1:17" x14ac:dyDescent="0.2">
      <c r="A191" s="1" t="s">
        <v>183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6" t="s">
        <v>370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6" t="s">
        <v>370</v>
      </c>
      <c r="P191" s="2">
        <v>0</v>
      </c>
      <c r="Q191" s="2">
        <v>0</v>
      </c>
    </row>
    <row r="192" spans="1:17" x14ac:dyDescent="0.2">
      <c r="A192" s="1" t="s">
        <v>184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6" t="s">
        <v>370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6" t="s">
        <v>370</v>
      </c>
      <c r="P192" s="2">
        <v>0</v>
      </c>
      <c r="Q192" s="2">
        <v>0</v>
      </c>
    </row>
    <row r="193" spans="1:17" x14ac:dyDescent="0.2">
      <c r="A193" s="1" t="s">
        <v>185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6" t="s">
        <v>370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6" t="s">
        <v>370</v>
      </c>
      <c r="P193" s="2">
        <v>0</v>
      </c>
      <c r="Q193" s="2">
        <v>0</v>
      </c>
    </row>
    <row r="194" spans="1:17" x14ac:dyDescent="0.2">
      <c r="A194" s="1" t="s">
        <v>186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6" t="s">
        <v>370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6" t="s">
        <v>370</v>
      </c>
      <c r="P194" s="2">
        <v>0</v>
      </c>
      <c r="Q194" s="2">
        <v>0</v>
      </c>
    </row>
    <row r="195" spans="1:17" x14ac:dyDescent="0.2">
      <c r="A195" s="1" t="s">
        <v>187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6" t="s">
        <v>371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6" t="s">
        <v>370</v>
      </c>
      <c r="P195" s="2">
        <v>0</v>
      </c>
      <c r="Q195" s="2">
        <v>0</v>
      </c>
    </row>
    <row r="196" spans="1:17" x14ac:dyDescent="0.2">
      <c r="A196" s="1" t="s">
        <v>188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6" t="s">
        <v>370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6" t="s">
        <v>370</v>
      </c>
      <c r="P196" s="2">
        <v>0</v>
      </c>
      <c r="Q196" s="2">
        <v>0</v>
      </c>
    </row>
    <row r="197" spans="1:17" x14ac:dyDescent="0.2">
      <c r="A197" s="1" t="s">
        <v>189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6" t="s">
        <v>370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6" t="s">
        <v>370</v>
      </c>
      <c r="P197" s="2">
        <v>0</v>
      </c>
      <c r="Q197" s="2">
        <v>0</v>
      </c>
    </row>
    <row r="198" spans="1:17" x14ac:dyDescent="0.2">
      <c r="H198" s="6" t="s">
        <v>370</v>
      </c>
      <c r="O198" s="6" t="s">
        <v>370</v>
      </c>
    </row>
    <row r="199" spans="1:17" x14ac:dyDescent="0.2">
      <c r="A199" s="1" t="s">
        <v>190</v>
      </c>
      <c r="B199" s="2">
        <v>0.54904828759931401</v>
      </c>
      <c r="C199" s="2">
        <v>0.52985092973397396</v>
      </c>
      <c r="D199" s="2">
        <v>0.52627969890578596</v>
      </c>
      <c r="E199" s="2">
        <v>0.54163102577900402</v>
      </c>
      <c r="F199" s="2">
        <v>0.516389659718825</v>
      </c>
      <c r="G199" s="2">
        <v>0.53603295906625004</v>
      </c>
      <c r="H199" s="6">
        <f t="shared" ref="H199:H258" si="10">TTEST(B199:D199,E199:G199,2,2)</f>
        <v>0.73987371296281212</v>
      </c>
      <c r="I199" s="2">
        <v>1</v>
      </c>
      <c r="J199" s="2">
        <v>0.98792701598824195</v>
      </c>
      <c r="K199" s="2">
        <v>1</v>
      </c>
      <c r="L199" s="2">
        <v>1</v>
      </c>
      <c r="M199" s="2">
        <v>0.98660087271599595</v>
      </c>
      <c r="N199" s="2">
        <v>1</v>
      </c>
      <c r="O199" s="6">
        <f t="shared" ref="O199:O258" si="11">TTEST(I199:K199,L199:N199,2,2)</f>
        <v>0.94491602893608295</v>
      </c>
      <c r="P199" s="2">
        <v>0.77567708032221805</v>
      </c>
      <c r="Q199" s="2">
        <v>0.77810011103114995</v>
      </c>
    </row>
    <row r="200" spans="1:17" x14ac:dyDescent="0.2">
      <c r="A200" s="1" t="s">
        <v>191</v>
      </c>
      <c r="B200" s="2">
        <v>0</v>
      </c>
      <c r="C200" s="2">
        <v>1.71145898267279E-3</v>
      </c>
      <c r="D200" s="2">
        <v>1.8256681323174299E-3</v>
      </c>
      <c r="E200" s="2">
        <v>0</v>
      </c>
      <c r="F200" s="2">
        <v>2.0646794035961102E-2</v>
      </c>
      <c r="G200" s="2">
        <v>0</v>
      </c>
      <c r="H200" s="6">
        <f t="shared" si="10"/>
        <v>0.4553993505308146</v>
      </c>
      <c r="I200" s="2">
        <v>0</v>
      </c>
      <c r="J200" s="2">
        <v>1.2072984011757701E-2</v>
      </c>
      <c r="K200" s="2">
        <v>0</v>
      </c>
      <c r="L200" s="2">
        <v>0</v>
      </c>
      <c r="M200" s="2">
        <v>1.33991272840041E-2</v>
      </c>
      <c r="N200" s="2">
        <v>0</v>
      </c>
      <c r="O200" s="6">
        <f t="shared" si="11"/>
        <v>0.9449160289360603</v>
      </c>
      <c r="P200" s="2">
        <v>0</v>
      </c>
      <c r="Q200" s="2">
        <v>0</v>
      </c>
    </row>
    <row r="201" spans="1:17" x14ac:dyDescent="0.2">
      <c r="A201" s="1" t="s">
        <v>192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6" t="s">
        <v>370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6" t="s">
        <v>370</v>
      </c>
      <c r="P201" s="2">
        <v>0</v>
      </c>
      <c r="Q201" s="2">
        <v>0</v>
      </c>
    </row>
    <row r="202" spans="1:17" x14ac:dyDescent="0.2">
      <c r="A202" s="1" t="s">
        <v>193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6" t="s">
        <v>370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6" t="s">
        <v>370</v>
      </c>
      <c r="P202" s="2">
        <v>0</v>
      </c>
      <c r="Q202" s="2">
        <v>0</v>
      </c>
    </row>
    <row r="203" spans="1:17" x14ac:dyDescent="0.2">
      <c r="A203" s="1" t="s">
        <v>194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6" t="s">
        <v>370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6" t="s">
        <v>370</v>
      </c>
      <c r="P203" s="2">
        <v>0</v>
      </c>
      <c r="Q203" s="2">
        <v>0</v>
      </c>
    </row>
    <row r="204" spans="1:17" x14ac:dyDescent="0.2">
      <c r="A204" s="1" t="s">
        <v>195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6" t="s">
        <v>370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6" t="s">
        <v>370</v>
      </c>
      <c r="P204" s="2">
        <v>0</v>
      </c>
      <c r="Q204" s="2">
        <v>0</v>
      </c>
    </row>
    <row r="205" spans="1:17" x14ac:dyDescent="0.2">
      <c r="A205" s="1" t="s">
        <v>196</v>
      </c>
      <c r="B205" s="2">
        <v>0.45095171240068599</v>
      </c>
      <c r="C205" s="2">
        <v>0.46843761128335298</v>
      </c>
      <c r="D205" s="2">
        <v>0.47189463296189699</v>
      </c>
      <c r="E205" s="2">
        <v>0.45836897422099598</v>
      </c>
      <c r="F205" s="2">
        <v>0.46296354624521402</v>
      </c>
      <c r="G205" s="2">
        <v>0.46396704093375002</v>
      </c>
      <c r="H205" s="6">
        <f t="shared" si="10"/>
        <v>0.78096012258827319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6" t="s">
        <v>370</v>
      </c>
      <c r="P205" s="2">
        <v>0.22432291967778201</v>
      </c>
      <c r="Q205" s="2">
        <v>0.22189988896884999</v>
      </c>
    </row>
    <row r="206" spans="1:17" x14ac:dyDescent="0.2">
      <c r="H206" s="6" t="s">
        <v>370</v>
      </c>
      <c r="O206" s="6" t="s">
        <v>370</v>
      </c>
    </row>
    <row r="207" spans="1:17" x14ac:dyDescent="0.2">
      <c r="A207" s="1" t="s">
        <v>197</v>
      </c>
      <c r="B207" s="2">
        <v>0.49519260208113403</v>
      </c>
      <c r="C207" s="2">
        <v>0.51692016914218297</v>
      </c>
      <c r="D207" s="2">
        <v>0.51245659168312596</v>
      </c>
      <c r="E207" s="2">
        <v>0.51184515030088695</v>
      </c>
      <c r="F207" s="2">
        <v>0.514045838451893</v>
      </c>
      <c r="G207" s="2">
        <v>0.509095757553925</v>
      </c>
      <c r="H207" s="6">
        <f t="shared" si="10"/>
        <v>0.63542612655970132</v>
      </c>
      <c r="I207" s="2">
        <v>0.96119937550339696</v>
      </c>
      <c r="J207" s="2">
        <v>0.95604460086897503</v>
      </c>
      <c r="K207" s="2">
        <v>0.95475030129393401</v>
      </c>
      <c r="L207" s="2">
        <v>0.95987511813429804</v>
      </c>
      <c r="M207" s="2">
        <v>0.95424243730390501</v>
      </c>
      <c r="N207" s="2">
        <v>0.96006967634011497</v>
      </c>
      <c r="O207" s="6" t="s">
        <v>370</v>
      </c>
      <c r="P207" s="2">
        <v>0.67188720114753497</v>
      </c>
      <c r="Q207" s="2">
        <v>0.67418655791273197</v>
      </c>
    </row>
    <row r="208" spans="1:17" x14ac:dyDescent="0.2">
      <c r="A208" s="1" t="s">
        <v>198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6" t="s">
        <v>370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6" t="s">
        <v>370</v>
      </c>
      <c r="P208" s="2">
        <v>9.5119466190955195E-4</v>
      </c>
      <c r="Q208" s="2">
        <v>0</v>
      </c>
    </row>
    <row r="209" spans="1:17" x14ac:dyDescent="0.2">
      <c r="A209" s="1" t="s">
        <v>199</v>
      </c>
      <c r="B209" s="2">
        <v>1.25987673284437E-2</v>
      </c>
      <c r="C209" s="2">
        <v>2.0425004960178801E-2</v>
      </c>
      <c r="D209" s="2">
        <v>1.7925260237722899E-2</v>
      </c>
      <c r="E209" s="2">
        <v>1.9976238020219101E-2</v>
      </c>
      <c r="F209" s="2">
        <v>1.8113248973622001E-2</v>
      </c>
      <c r="G209" s="2">
        <v>1.15792405730481E-2</v>
      </c>
      <c r="H209" s="6">
        <f t="shared" si="10"/>
        <v>0.90715184221204281</v>
      </c>
      <c r="I209" s="2">
        <v>3.8800624496603403E-2</v>
      </c>
      <c r="J209" s="2">
        <v>4.3955399131024697E-2</v>
      </c>
      <c r="K209" s="2">
        <v>4.5249698706066002E-2</v>
      </c>
      <c r="L209" s="2">
        <v>4.01248818657019E-2</v>
      </c>
      <c r="M209" s="2">
        <v>4.5757562696094801E-2</v>
      </c>
      <c r="N209" s="2">
        <v>3.99303236598854E-2</v>
      </c>
      <c r="O209" s="6">
        <f t="shared" si="11"/>
        <v>0.80312388018857106</v>
      </c>
      <c r="P209" s="2">
        <v>2.4979398093648901E-2</v>
      </c>
      <c r="Q209" s="2">
        <v>2.7666132299870898E-2</v>
      </c>
    </row>
    <row r="210" spans="1:17" x14ac:dyDescent="0.2">
      <c r="A210" s="1" t="s">
        <v>200</v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6" t="s">
        <v>370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6" t="s">
        <v>370</v>
      </c>
      <c r="P210" s="2">
        <v>0</v>
      </c>
      <c r="Q210" s="2">
        <v>0</v>
      </c>
    </row>
    <row r="211" spans="1:17" x14ac:dyDescent="0.2">
      <c r="A211" s="1" t="s">
        <v>201</v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6" t="s">
        <v>370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6" t="s">
        <v>370</v>
      </c>
      <c r="P211" s="2">
        <v>0</v>
      </c>
      <c r="Q211" s="2">
        <v>0</v>
      </c>
    </row>
    <row r="212" spans="1:17" x14ac:dyDescent="0.2">
      <c r="A212" s="1" t="s">
        <v>202</v>
      </c>
      <c r="B212" s="2">
        <v>1.6091824293957099E-2</v>
      </c>
      <c r="C212" s="2">
        <v>1.5487707573878901E-2</v>
      </c>
      <c r="D212" s="2">
        <v>1.4116932789656001E-2</v>
      </c>
      <c r="E212" s="2">
        <v>1.5051590050418499E-2</v>
      </c>
      <c r="F212" s="2">
        <v>1.46561617874437E-2</v>
      </c>
      <c r="G212" s="2">
        <v>1.5121068105894701E-2</v>
      </c>
      <c r="H212" s="6">
        <f t="shared" si="10"/>
        <v>0.65597720092417722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6" t="s">
        <v>370</v>
      </c>
      <c r="P212" s="2">
        <v>8.8853275523947603E-3</v>
      </c>
      <c r="Q212" s="2">
        <v>1.0526101194185801E-2</v>
      </c>
    </row>
    <row r="213" spans="1:17" x14ac:dyDescent="0.2">
      <c r="A213" s="1" t="s">
        <v>203</v>
      </c>
      <c r="B213" s="2">
        <v>0.47611680629646502</v>
      </c>
      <c r="C213" s="2">
        <v>0.44716711832375899</v>
      </c>
      <c r="D213" s="2">
        <v>0.455501215289495</v>
      </c>
      <c r="E213" s="2">
        <v>0.45312702162847501</v>
      </c>
      <c r="F213" s="2">
        <v>0.45318475078704201</v>
      </c>
      <c r="G213" s="2">
        <v>0.46420393376713198</v>
      </c>
      <c r="H213" s="6">
        <f t="shared" si="10"/>
        <v>0.78301010584425457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6" t="s">
        <v>370</v>
      </c>
      <c r="P213" s="2">
        <v>0.29329687854451197</v>
      </c>
      <c r="Q213" s="2">
        <v>0.287621208593212</v>
      </c>
    </row>
    <row r="214" spans="1:17" x14ac:dyDescent="0.2">
      <c r="H214" s="6" t="s">
        <v>370</v>
      </c>
      <c r="O214" s="6" t="s">
        <v>370</v>
      </c>
    </row>
    <row r="215" spans="1:17" x14ac:dyDescent="0.2">
      <c r="A215" s="1" t="s">
        <v>204</v>
      </c>
      <c r="B215" s="2">
        <v>0.94542259091021696</v>
      </c>
      <c r="C215" s="2">
        <v>0.94380895134283305</v>
      </c>
      <c r="D215" s="2">
        <v>0.94700042811229501</v>
      </c>
      <c r="E215" s="2">
        <v>0.89575249597899897</v>
      </c>
      <c r="F215" s="2">
        <v>0.90345163513388904</v>
      </c>
      <c r="G215" s="2">
        <v>0.89047048751089697</v>
      </c>
      <c r="H215" s="6">
        <f t="shared" si="10"/>
        <v>2.2900417280702359E-4</v>
      </c>
      <c r="I215" s="2">
        <v>0.43898561670548197</v>
      </c>
      <c r="J215" s="2">
        <v>0.45802988228648001</v>
      </c>
      <c r="K215" s="2">
        <v>0.45851517203604097</v>
      </c>
      <c r="L215" s="2">
        <v>0.45264099847767397</v>
      </c>
      <c r="M215" s="2">
        <v>0.45085416258124</v>
      </c>
      <c r="N215" s="2">
        <v>0.43959606378958299</v>
      </c>
      <c r="O215" s="6">
        <f t="shared" si="11"/>
        <v>0.61512604995020381</v>
      </c>
      <c r="P215" s="2">
        <v>0.66997661881939197</v>
      </c>
      <c r="Q215" s="2">
        <v>0.67157416288382998</v>
      </c>
    </row>
    <row r="216" spans="1:17" x14ac:dyDescent="0.2">
      <c r="A216" s="1" t="s">
        <v>205</v>
      </c>
      <c r="B216" s="2">
        <v>5.7418833946536497E-3</v>
      </c>
      <c r="C216" s="2">
        <v>7.2208065879397201E-3</v>
      </c>
      <c r="D216" s="2">
        <v>6.09695964649337E-3</v>
      </c>
      <c r="E216" s="2">
        <v>1.2837419679281E-2</v>
      </c>
      <c r="F216" s="2">
        <v>9.4283631032488005E-3</v>
      </c>
      <c r="G216" s="2">
        <v>1.2415995161775901E-2</v>
      </c>
      <c r="H216" s="6">
        <f t="shared" si="10"/>
        <v>1.0975897132992083E-2</v>
      </c>
      <c r="I216" s="2">
        <v>0.16674275036851199</v>
      </c>
      <c r="J216" s="2">
        <v>0.16016218520005199</v>
      </c>
      <c r="K216" s="2">
        <v>0.157755958841787</v>
      </c>
      <c r="L216" s="2">
        <v>0.16882526034657799</v>
      </c>
      <c r="M216" s="2">
        <v>0.17196209426266501</v>
      </c>
      <c r="N216" s="2">
        <v>0.17322259838977</v>
      </c>
      <c r="O216" s="6" t="s">
        <v>370</v>
      </c>
      <c r="P216" s="2">
        <v>9.3733003729328995E-2</v>
      </c>
      <c r="Q216" s="2">
        <v>9.3144320256515006E-2</v>
      </c>
    </row>
    <row r="217" spans="1:17" x14ac:dyDescent="0.2">
      <c r="A217" s="1" t="s">
        <v>206</v>
      </c>
      <c r="B217" s="2">
        <v>4.4726392529885799E-2</v>
      </c>
      <c r="C217" s="2">
        <v>4.4870068707271303E-2</v>
      </c>
      <c r="D217" s="2">
        <v>4.29692564822967E-2</v>
      </c>
      <c r="E217" s="2">
        <v>8.34588660415366E-2</v>
      </c>
      <c r="F217" s="2">
        <v>7.9095526940654207E-2</v>
      </c>
      <c r="G217" s="2">
        <v>8.8232509909586601E-2</v>
      </c>
      <c r="H217" s="6">
        <f t="shared" si="10"/>
        <v>1.2975249941805714E-4</v>
      </c>
      <c r="I217" s="2">
        <v>1.41469006174518E-2</v>
      </c>
      <c r="J217" s="2">
        <v>1.2327460758766199E-2</v>
      </c>
      <c r="K217" s="2">
        <v>1.48743988375017E-2</v>
      </c>
      <c r="L217" s="2">
        <v>2.2438093945296101E-2</v>
      </c>
      <c r="M217" s="2">
        <v>2.09154160588867E-2</v>
      </c>
      <c r="N217" s="2">
        <v>1.9856854212103699E-2</v>
      </c>
      <c r="O217" s="6" t="s">
        <v>370</v>
      </c>
      <c r="P217" s="2">
        <v>3.6772990511108099E-2</v>
      </c>
      <c r="Q217" s="2">
        <v>3.65213257991375E-2</v>
      </c>
    </row>
    <row r="218" spans="1:17" x14ac:dyDescent="0.2">
      <c r="A218" s="1" t="s">
        <v>207</v>
      </c>
      <c r="B218" s="2">
        <v>2.5166842703317101E-3</v>
      </c>
      <c r="C218" s="2">
        <v>2.5327863287020499E-3</v>
      </c>
      <c r="D218" s="2">
        <v>2.3007376360931501E-3</v>
      </c>
      <c r="E218" s="2">
        <v>4.5861735990574103E-3</v>
      </c>
      <c r="F218" s="2">
        <v>4.5084622451245998E-3</v>
      </c>
      <c r="G218" s="2">
        <v>5.0493771982950799E-3</v>
      </c>
      <c r="H218" s="6">
        <f t="shared" si="10"/>
        <v>2.5401228928355102E-4</v>
      </c>
      <c r="I218" s="2">
        <v>5.3634908067602002E-2</v>
      </c>
      <c r="J218" s="2">
        <v>5.3135361725099903E-2</v>
      </c>
      <c r="K218" s="2">
        <v>5.5296578221891601E-2</v>
      </c>
      <c r="L218" s="2">
        <v>7.8969448401781897E-2</v>
      </c>
      <c r="M218" s="2">
        <v>8.14019557708478E-2</v>
      </c>
      <c r="N218" s="2">
        <v>7.8593732700598606E-2</v>
      </c>
      <c r="O218" s="6" t="s">
        <v>370</v>
      </c>
      <c r="P218" s="2">
        <v>3.6145262930475097E-2</v>
      </c>
      <c r="Q218" s="2">
        <v>3.62028691814021E-2</v>
      </c>
    </row>
    <row r="219" spans="1:17" x14ac:dyDescent="0.2">
      <c r="A219" s="1" t="s">
        <v>208</v>
      </c>
      <c r="B219" s="2">
        <v>1.28013580348966E-3</v>
      </c>
      <c r="C219" s="2">
        <v>1.2078449915717199E-3</v>
      </c>
      <c r="D219" s="2">
        <v>1.21653827593355E-3</v>
      </c>
      <c r="E219" s="2">
        <v>2.8411406757506701E-3</v>
      </c>
      <c r="F219" s="2">
        <v>2.9382851929710902E-3</v>
      </c>
      <c r="G219" s="2">
        <v>3.2566986446590802E-3</v>
      </c>
      <c r="H219" s="6">
        <f t="shared" si="10"/>
        <v>1.5388868477417863E-4</v>
      </c>
      <c r="I219" s="2">
        <v>3.1300488453216202E-2</v>
      </c>
      <c r="J219" s="2">
        <v>3.0173801654513902E-2</v>
      </c>
      <c r="K219" s="2">
        <v>3.07547276658434E-2</v>
      </c>
      <c r="L219" s="2">
        <v>3.9290324731402398E-2</v>
      </c>
      <c r="M219" s="2">
        <v>4.0285692861976599E-2</v>
      </c>
      <c r="N219" s="2">
        <v>4.0000584670145001E-2</v>
      </c>
      <c r="O219" s="6">
        <f t="shared" si="11"/>
        <v>3.2002309579965724E-5</v>
      </c>
      <c r="P219" s="2">
        <v>1.9639437073818201E-2</v>
      </c>
      <c r="Q219" s="2">
        <v>1.9338151894647E-2</v>
      </c>
    </row>
    <row r="220" spans="1:17" x14ac:dyDescent="0.2">
      <c r="A220" s="1" t="s">
        <v>209</v>
      </c>
      <c r="B220" s="2">
        <v>3.1231309142203898E-4</v>
      </c>
      <c r="C220" s="2">
        <v>3.5954204168181698E-4</v>
      </c>
      <c r="D220" s="2">
        <v>4.1607984688841001E-4</v>
      </c>
      <c r="E220" s="2">
        <v>5.2390402537545603E-4</v>
      </c>
      <c r="F220" s="2">
        <v>5.7772738411255599E-4</v>
      </c>
      <c r="G220" s="2">
        <v>5.7493157478593997E-4</v>
      </c>
      <c r="H220" s="6">
        <f t="shared" si="10"/>
        <v>4.8320578837924818E-3</v>
      </c>
      <c r="I220" s="2">
        <v>0.29518933578773598</v>
      </c>
      <c r="J220" s="2">
        <v>0.28617130837508797</v>
      </c>
      <c r="K220" s="2">
        <v>0.28280316439693498</v>
      </c>
      <c r="L220" s="2">
        <v>0.237835874097268</v>
      </c>
      <c r="M220" s="2">
        <v>0.23458067846438399</v>
      </c>
      <c r="N220" s="2">
        <v>0.24873016623779901</v>
      </c>
      <c r="O220" s="6">
        <f t="shared" si="11"/>
        <v>1.0840968057710893E-3</v>
      </c>
      <c r="P220" s="2">
        <v>0.14373268693587801</v>
      </c>
      <c r="Q220" s="2">
        <v>0.14321916998446799</v>
      </c>
    </row>
    <row r="221" spans="1:17" x14ac:dyDescent="0.2">
      <c r="H221" s="6" t="s">
        <v>370</v>
      </c>
      <c r="O221" s="6" t="s">
        <v>370</v>
      </c>
    </row>
    <row r="222" spans="1:17" x14ac:dyDescent="0.2">
      <c r="A222" s="1" t="s">
        <v>210</v>
      </c>
      <c r="B222" s="2">
        <v>0.99140176489992304</v>
      </c>
      <c r="C222" s="2">
        <v>0.99069134994844898</v>
      </c>
      <c r="D222" s="2">
        <v>0.99000846756650596</v>
      </c>
      <c r="E222" s="2">
        <v>0.99049774163413795</v>
      </c>
      <c r="F222" s="2">
        <v>0.99110883602628597</v>
      </c>
      <c r="G222" s="2">
        <v>0.99728147696327996</v>
      </c>
      <c r="H222" s="6">
        <f t="shared" si="10"/>
        <v>0.36264562800234756</v>
      </c>
      <c r="I222" s="2">
        <v>0.97871945925068404</v>
      </c>
      <c r="J222" s="2">
        <v>0.98074508296154606</v>
      </c>
      <c r="K222" s="2">
        <v>0.98278863428914698</v>
      </c>
      <c r="L222" s="2">
        <v>0.98175223553595103</v>
      </c>
      <c r="M222" s="2">
        <v>0.98340411063955802</v>
      </c>
      <c r="N222" s="2">
        <v>0.98164092982132001</v>
      </c>
      <c r="O222" s="6">
        <f t="shared" si="11"/>
        <v>0.31054480020951741</v>
      </c>
      <c r="P222" s="2">
        <v>0.98591240562457405</v>
      </c>
      <c r="Q222" s="2">
        <v>0.98697307908870902</v>
      </c>
    </row>
    <row r="223" spans="1:17" x14ac:dyDescent="0.2">
      <c r="A223" s="1" t="s">
        <v>211</v>
      </c>
      <c r="B223" s="2">
        <v>5.2841486365139403E-3</v>
      </c>
      <c r="C223" s="2">
        <v>5.2274420231302899E-3</v>
      </c>
      <c r="D223" s="2">
        <v>6.04546229067289E-3</v>
      </c>
      <c r="E223" s="2">
        <v>5.3105579009685997E-3</v>
      </c>
      <c r="F223" s="2">
        <v>4.9107148174804601E-3</v>
      </c>
      <c r="G223" s="2">
        <v>0</v>
      </c>
      <c r="H223" s="6">
        <f t="shared" si="10"/>
        <v>0.28866090983574766</v>
      </c>
      <c r="I223" s="2">
        <v>7.5805964524145002E-3</v>
      </c>
      <c r="J223" s="2">
        <v>6.7910694382317897E-3</v>
      </c>
      <c r="K223" s="2">
        <v>5.2512392749478097E-3</v>
      </c>
      <c r="L223" s="2">
        <v>7.23757964707259E-3</v>
      </c>
      <c r="M223" s="2">
        <v>5.7621919859597E-3</v>
      </c>
      <c r="N223" s="2">
        <v>7.3110349383949096E-3</v>
      </c>
      <c r="O223" s="6">
        <f t="shared" si="11"/>
        <v>0.80065936093391776</v>
      </c>
      <c r="P223" s="2">
        <v>6.1915481174973502E-3</v>
      </c>
      <c r="Q223" s="2">
        <v>5.6023250925218903E-3</v>
      </c>
    </row>
    <row r="224" spans="1:17" x14ac:dyDescent="0.2">
      <c r="A224" s="1" t="s">
        <v>212</v>
      </c>
      <c r="B224" s="2">
        <v>1.9866068074629599E-3</v>
      </c>
      <c r="C224" s="2">
        <v>2.3165440370318501E-3</v>
      </c>
      <c r="D224" s="2">
        <v>2.4773103090326401E-3</v>
      </c>
      <c r="E224" s="2">
        <v>2.5631978353919801E-3</v>
      </c>
      <c r="F224" s="2">
        <v>2.4842382684116E-3</v>
      </c>
      <c r="G224" s="2">
        <v>1.31779161546719E-3</v>
      </c>
      <c r="H224" s="6">
        <f t="shared" si="10"/>
        <v>0.76246419313953528</v>
      </c>
      <c r="I224" s="2">
        <v>8.6501623794189701E-4</v>
      </c>
      <c r="J224" s="2">
        <v>1.42457426673014E-3</v>
      </c>
      <c r="K224" s="2">
        <v>1.6786048984620201E-3</v>
      </c>
      <c r="L224" s="2">
        <v>1.56681602424399E-3</v>
      </c>
      <c r="M224" s="2">
        <v>1.36227883582052E-3</v>
      </c>
      <c r="N224" s="2">
        <v>1.19199748940057E-3</v>
      </c>
      <c r="O224" s="6">
        <f t="shared" si="11"/>
        <v>0.85611858946701902</v>
      </c>
      <c r="P224" s="2">
        <v>1.9293780295519399E-3</v>
      </c>
      <c r="Q224" s="2">
        <v>1.42888109273199E-3</v>
      </c>
    </row>
    <row r="225" spans="1:17" x14ac:dyDescent="0.2">
      <c r="A225" s="1" t="s">
        <v>213</v>
      </c>
      <c r="B225" s="2">
        <v>0</v>
      </c>
      <c r="C225" s="2">
        <v>3.7679665423245802E-4</v>
      </c>
      <c r="D225" s="2">
        <v>3.3695947278588998E-4</v>
      </c>
      <c r="E225" s="2">
        <v>2.3876084278655799E-4</v>
      </c>
      <c r="F225" s="2">
        <v>4.4709349704721E-4</v>
      </c>
      <c r="G225" s="2">
        <v>0</v>
      </c>
      <c r="H225" s="6">
        <f t="shared" si="10"/>
        <v>0.96038407978310836</v>
      </c>
      <c r="I225" s="2">
        <v>1.32342209045113E-3</v>
      </c>
      <c r="J225" s="2">
        <v>9.926915498286741E-4</v>
      </c>
      <c r="K225" s="2">
        <v>1.1438078385481701E-3</v>
      </c>
      <c r="L225" s="2">
        <v>1.12334974523203E-3</v>
      </c>
      <c r="M225" s="2">
        <v>1.1268387149061701E-3</v>
      </c>
      <c r="N225" s="2">
        <v>8.0296462353185503E-4</v>
      </c>
      <c r="O225" s="6">
        <f t="shared" si="11"/>
        <v>0.39901616116276906</v>
      </c>
      <c r="P225" s="2">
        <v>6.5079002864946002E-4</v>
      </c>
      <c r="Q225" s="2">
        <v>6.1391023648115796E-4</v>
      </c>
    </row>
    <row r="226" spans="1:17" x14ac:dyDescent="0.2">
      <c r="A226" s="1" t="s">
        <v>214</v>
      </c>
      <c r="B226" s="2">
        <v>1.3274796561004701E-3</v>
      </c>
      <c r="C226" s="2">
        <v>1.3878673371561E-3</v>
      </c>
      <c r="D226" s="2">
        <v>1.1318003610021801E-3</v>
      </c>
      <c r="E226" s="2">
        <v>1.38974178671472E-3</v>
      </c>
      <c r="F226" s="2">
        <v>1.0491173907752501E-3</v>
      </c>
      <c r="G226" s="2">
        <v>1.4007314212532E-3</v>
      </c>
      <c r="H226" s="6">
        <f t="shared" si="10"/>
        <v>0.9864000117255578</v>
      </c>
      <c r="I226" s="2">
        <v>1.45343866666891E-3</v>
      </c>
      <c r="J226" s="2">
        <v>1.06307312418786E-3</v>
      </c>
      <c r="K226" s="2">
        <v>9.66960666377359E-4</v>
      </c>
      <c r="L226" s="2">
        <v>1.1504997957804499E-3</v>
      </c>
      <c r="M226" s="2">
        <v>1.1764261503903501E-3</v>
      </c>
      <c r="N226" s="2">
        <v>1.1402835122011801E-3</v>
      </c>
      <c r="O226" s="6">
        <f t="shared" si="11"/>
        <v>0.97274611073760842</v>
      </c>
      <c r="P226" s="2">
        <v>1.3183641197154199E-3</v>
      </c>
      <c r="Q226" s="2">
        <v>1.36554682101096E-3</v>
      </c>
    </row>
    <row r="227" spans="1:17" x14ac:dyDescent="0.2">
      <c r="A227" s="1" t="s">
        <v>215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6" t="s">
        <v>370</v>
      </c>
      <c r="I227" s="2">
        <v>1.0058067301839399E-2</v>
      </c>
      <c r="J227" s="2">
        <v>8.9835086594760999E-3</v>
      </c>
      <c r="K227" s="2">
        <v>8.1707530325177205E-3</v>
      </c>
      <c r="L227" s="2">
        <v>7.1695192517198403E-3</v>
      </c>
      <c r="M227" s="2">
        <v>7.1681536733651198E-3</v>
      </c>
      <c r="N227" s="2">
        <v>7.9127896151512996E-3</v>
      </c>
      <c r="O227" s="6">
        <f t="shared" si="11"/>
        <v>5.107386188415098E-2</v>
      </c>
      <c r="P227" s="2">
        <v>3.9975140800118901E-3</v>
      </c>
      <c r="Q227" s="2">
        <v>4.0162576685454096E-3</v>
      </c>
    </row>
    <row r="228" spans="1:17" x14ac:dyDescent="0.2">
      <c r="H228" s="6" t="s">
        <v>370</v>
      </c>
      <c r="O228" s="6" t="s">
        <v>370</v>
      </c>
    </row>
    <row r="229" spans="1:17" x14ac:dyDescent="0.2">
      <c r="A229" s="1" t="s">
        <v>216</v>
      </c>
      <c r="B229" s="2">
        <v>0.57441341451546502</v>
      </c>
      <c r="C229" s="2">
        <v>0.58208209501540997</v>
      </c>
      <c r="D229" s="2">
        <v>0.57714459845157795</v>
      </c>
      <c r="E229" s="2">
        <v>0.57657195092795099</v>
      </c>
      <c r="F229" s="2">
        <v>0.56580819888717904</v>
      </c>
      <c r="G229" s="2">
        <v>0.58591030251220999</v>
      </c>
      <c r="H229" s="6">
        <f t="shared" si="10"/>
        <v>0.78879286505205881</v>
      </c>
      <c r="I229" s="2">
        <v>0.997736051329287</v>
      </c>
      <c r="J229" s="2">
        <v>0.99765410177107805</v>
      </c>
      <c r="K229" s="2">
        <v>0.99785905359629501</v>
      </c>
      <c r="L229" s="2">
        <v>0.99925537767985695</v>
      </c>
      <c r="M229" s="2">
        <v>0.99737985857393896</v>
      </c>
      <c r="N229" s="2">
        <v>0.99825319336346496</v>
      </c>
      <c r="O229" s="6">
        <f t="shared" si="11"/>
        <v>0.37287620001791133</v>
      </c>
      <c r="P229" s="2">
        <v>0.81184704513156303</v>
      </c>
      <c r="Q229" s="2">
        <v>0.81326905476617095</v>
      </c>
    </row>
    <row r="230" spans="1:17" x14ac:dyDescent="0.2">
      <c r="A230" s="1" t="s">
        <v>217</v>
      </c>
      <c r="B230" s="2">
        <v>9.6015943960561408E-3</v>
      </c>
      <c r="C230" s="2">
        <v>8.0800076501908406E-3</v>
      </c>
      <c r="D230" s="2">
        <v>8.3846380775387808E-3</v>
      </c>
      <c r="E230" s="2">
        <v>5.9412972519510996E-3</v>
      </c>
      <c r="F230" s="2">
        <v>8.6846315225095408E-3</v>
      </c>
      <c r="G230" s="2">
        <v>4.2268046766463898E-3</v>
      </c>
      <c r="H230" s="6">
        <f t="shared" si="10"/>
        <v>0.15615560976806248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6" t="s">
        <v>370</v>
      </c>
      <c r="P230" s="2">
        <v>3.9395231835983296E-3</v>
      </c>
      <c r="Q230" s="2">
        <v>1.23249175754529E-3</v>
      </c>
    </row>
    <row r="231" spans="1:17" x14ac:dyDescent="0.2">
      <c r="A231" s="1" t="s">
        <v>218</v>
      </c>
      <c r="B231" s="2">
        <v>1.5275587564439801E-2</v>
      </c>
      <c r="C231" s="2">
        <v>1.4677832077113101E-2</v>
      </c>
      <c r="D231" s="2">
        <v>1.1628759656786799E-2</v>
      </c>
      <c r="E231" s="2">
        <v>1.03269700202176E-2</v>
      </c>
      <c r="F231" s="2">
        <v>8.9883992447401806E-3</v>
      </c>
      <c r="G231" s="2">
        <v>8.3054288306098397E-3</v>
      </c>
      <c r="H231" s="6">
        <f t="shared" si="10"/>
        <v>2.1815294898756884E-2</v>
      </c>
      <c r="I231" s="2">
        <v>2.2639486707128399E-3</v>
      </c>
      <c r="J231" s="2">
        <v>2.3458982289216901E-3</v>
      </c>
      <c r="K231" s="2">
        <v>2.1409464037049301E-3</v>
      </c>
      <c r="L231" s="2">
        <v>7.4462232014281104E-4</v>
      </c>
      <c r="M231" s="2">
        <v>2.6201414260615102E-3</v>
      </c>
      <c r="N231" s="2">
        <v>1.7468066365346E-3</v>
      </c>
      <c r="O231" s="6">
        <f t="shared" si="11"/>
        <v>0.37287620001807492</v>
      </c>
      <c r="P231" s="2">
        <v>6.6364507312510401E-3</v>
      </c>
      <c r="Q231" s="2">
        <v>7.1793149978217003E-3</v>
      </c>
    </row>
    <row r="232" spans="1:17" x14ac:dyDescent="0.2">
      <c r="A232" s="1" t="s">
        <v>219</v>
      </c>
      <c r="B232" s="2">
        <v>0.400709403524039</v>
      </c>
      <c r="C232" s="2">
        <v>0.39516006525728598</v>
      </c>
      <c r="D232" s="2">
        <v>0.40284200381409702</v>
      </c>
      <c r="E232" s="2">
        <v>0.40715978179987999</v>
      </c>
      <c r="F232" s="2">
        <v>0.416518770345571</v>
      </c>
      <c r="G232" s="2">
        <v>0.40155746398053399</v>
      </c>
      <c r="H232" s="6">
        <f t="shared" si="10"/>
        <v>0.1472532669136295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6" t="s">
        <v>370</v>
      </c>
      <c r="P232" s="2">
        <v>0.17757698095358801</v>
      </c>
      <c r="Q232" s="2">
        <v>0.17831913847846201</v>
      </c>
    </row>
    <row r="233" spans="1:17" x14ac:dyDescent="0.2">
      <c r="H233" s="6" t="s">
        <v>370</v>
      </c>
      <c r="O233" s="6" t="s">
        <v>370</v>
      </c>
    </row>
    <row r="234" spans="1:17" x14ac:dyDescent="0.2">
      <c r="A234" s="1" t="s">
        <v>220</v>
      </c>
      <c r="B234" s="2">
        <v>1</v>
      </c>
      <c r="C234" s="2">
        <v>1</v>
      </c>
      <c r="D234" s="2">
        <v>1</v>
      </c>
      <c r="E234" s="2">
        <v>1</v>
      </c>
      <c r="F234" s="2">
        <v>1</v>
      </c>
      <c r="G234" s="2">
        <v>1</v>
      </c>
      <c r="H234" s="6" t="s">
        <v>370</v>
      </c>
      <c r="I234" s="2">
        <v>1</v>
      </c>
      <c r="J234" s="2">
        <v>1</v>
      </c>
      <c r="K234" s="2">
        <v>1</v>
      </c>
      <c r="L234" s="2">
        <v>1</v>
      </c>
      <c r="M234" s="2">
        <v>1</v>
      </c>
      <c r="N234" s="2">
        <v>1</v>
      </c>
      <c r="O234" s="6" t="s">
        <v>370</v>
      </c>
      <c r="P234" s="2">
        <v>1</v>
      </c>
      <c r="Q234" s="2">
        <v>1</v>
      </c>
    </row>
    <row r="235" spans="1:17" x14ac:dyDescent="0.2">
      <c r="A235" s="1" t="s">
        <v>221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6" t="s">
        <v>370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6" t="s">
        <v>370</v>
      </c>
      <c r="P235" s="2">
        <v>0</v>
      </c>
      <c r="Q235" s="2">
        <v>0</v>
      </c>
    </row>
    <row r="236" spans="1:17" x14ac:dyDescent="0.2">
      <c r="A236" s="1" t="s">
        <v>222</v>
      </c>
      <c r="B236" s="2">
        <v>0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6" t="s">
        <v>370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6" t="s">
        <v>370</v>
      </c>
      <c r="P236" s="2">
        <v>0</v>
      </c>
      <c r="Q236" s="2">
        <v>0</v>
      </c>
    </row>
    <row r="237" spans="1:17" x14ac:dyDescent="0.2">
      <c r="A237" s="1" t="s">
        <v>223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6" t="s">
        <v>370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6" t="s">
        <v>371</v>
      </c>
      <c r="P237" s="2">
        <v>0</v>
      </c>
      <c r="Q237" s="2">
        <v>0</v>
      </c>
    </row>
    <row r="238" spans="1:17" x14ac:dyDescent="0.2">
      <c r="A238" s="1" t="s">
        <v>224</v>
      </c>
      <c r="B238" s="2">
        <v>0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6" t="s">
        <v>370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6" t="s">
        <v>370</v>
      </c>
      <c r="P238" s="2">
        <v>0</v>
      </c>
      <c r="Q238" s="2">
        <v>0</v>
      </c>
    </row>
    <row r="239" spans="1:17" x14ac:dyDescent="0.2">
      <c r="A239" s="1" t="s">
        <v>225</v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6" t="s">
        <v>370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6" t="s">
        <v>370</v>
      </c>
      <c r="P239" s="2">
        <v>0</v>
      </c>
      <c r="Q239" s="2">
        <v>0</v>
      </c>
    </row>
    <row r="240" spans="1:17" x14ac:dyDescent="0.2">
      <c r="A240" s="1" t="s">
        <v>226</v>
      </c>
      <c r="B240" s="2">
        <v>0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6" t="s">
        <v>370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6" t="s">
        <v>370</v>
      </c>
      <c r="P240" s="2">
        <v>0</v>
      </c>
      <c r="Q240" s="2">
        <v>0</v>
      </c>
    </row>
    <row r="241" spans="1:17" x14ac:dyDescent="0.2">
      <c r="A241" s="1" t="s">
        <v>227</v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6" t="s">
        <v>370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6" t="s">
        <v>370</v>
      </c>
      <c r="P241" s="2">
        <v>0</v>
      </c>
      <c r="Q241" s="2">
        <v>0</v>
      </c>
    </row>
    <row r="242" spans="1:17" x14ac:dyDescent="0.2">
      <c r="A242" s="1" t="s">
        <v>228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6" t="s">
        <v>370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6" t="s">
        <v>370</v>
      </c>
      <c r="P242" s="2">
        <v>0</v>
      </c>
      <c r="Q242" s="2">
        <v>0</v>
      </c>
    </row>
    <row r="243" spans="1:17" x14ac:dyDescent="0.2">
      <c r="A243" s="1" t="s">
        <v>229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6" t="s">
        <v>370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6" t="s">
        <v>370</v>
      </c>
      <c r="P243" s="2">
        <v>0</v>
      </c>
      <c r="Q243" s="2">
        <v>0</v>
      </c>
    </row>
    <row r="244" spans="1:17" x14ac:dyDescent="0.2">
      <c r="A244" s="1" t="s">
        <v>230</v>
      </c>
      <c r="B244" s="2">
        <v>0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6" t="s">
        <v>370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6" t="s">
        <v>370</v>
      </c>
      <c r="P244" s="2">
        <v>0</v>
      </c>
      <c r="Q244" s="2">
        <v>0</v>
      </c>
    </row>
    <row r="245" spans="1:17" x14ac:dyDescent="0.2">
      <c r="H245" s="6" t="s">
        <v>370</v>
      </c>
      <c r="O245" s="6" t="s">
        <v>370</v>
      </c>
    </row>
    <row r="246" spans="1:17" x14ac:dyDescent="0.2">
      <c r="A246" s="1" t="s">
        <v>231</v>
      </c>
      <c r="B246" s="2">
        <v>0.75012150009446499</v>
      </c>
      <c r="C246" s="2">
        <v>0.76711103445566298</v>
      </c>
      <c r="D246" s="2">
        <v>0.73584403412241794</v>
      </c>
      <c r="E246" s="2">
        <v>0.788193433380867</v>
      </c>
      <c r="F246" s="2">
        <v>0.77384325575356105</v>
      </c>
      <c r="G246" s="2">
        <v>0.77571626535085403</v>
      </c>
      <c r="H246" s="6">
        <f t="shared" si="10"/>
        <v>4.9044918792646185E-2</v>
      </c>
      <c r="I246" s="2">
        <v>0.70396979348761402</v>
      </c>
      <c r="J246" s="2">
        <v>0.76284949261365997</v>
      </c>
      <c r="K246" s="2">
        <v>0.74869177213296201</v>
      </c>
      <c r="L246" s="2">
        <v>0.76371304457647304</v>
      </c>
      <c r="M246" s="2">
        <v>0.76214215020174803</v>
      </c>
      <c r="N246" s="2">
        <v>0.76698353250050999</v>
      </c>
      <c r="O246" s="6">
        <f t="shared" si="11"/>
        <v>0.22118987673789928</v>
      </c>
      <c r="P246" s="2">
        <v>0.74815988259755895</v>
      </c>
      <c r="Q246" s="2">
        <v>0.75286471057926996</v>
      </c>
    </row>
    <row r="247" spans="1:17" x14ac:dyDescent="0.2">
      <c r="A247" s="1" t="s">
        <v>232</v>
      </c>
      <c r="B247" s="2">
        <v>1.0493991283867301E-2</v>
      </c>
      <c r="C247" s="2">
        <v>9.4058812472382902E-3</v>
      </c>
      <c r="D247" s="2">
        <v>2.03999892539578E-2</v>
      </c>
      <c r="E247" s="2">
        <v>0</v>
      </c>
      <c r="F247" s="2">
        <v>1.03954338801954E-2</v>
      </c>
      <c r="G247" s="2">
        <v>1.1263285237223799E-2</v>
      </c>
      <c r="H247" s="6">
        <f t="shared" si="10"/>
        <v>0.28450643911043866</v>
      </c>
      <c r="I247" s="2">
        <v>0.101829850981181</v>
      </c>
      <c r="J247" s="2">
        <v>7.3956831435967901E-2</v>
      </c>
      <c r="K247" s="2">
        <v>6.9800316932150899E-2</v>
      </c>
      <c r="L247" s="2">
        <v>8.1252949744270497E-2</v>
      </c>
      <c r="M247" s="2">
        <v>7.4332438304260604E-2</v>
      </c>
      <c r="N247" s="2">
        <v>6.4659901001754005E-2</v>
      </c>
      <c r="O247" s="6">
        <f t="shared" si="11"/>
        <v>0.49078379442805764</v>
      </c>
      <c r="P247" s="2">
        <v>4.0849342636040502E-2</v>
      </c>
      <c r="Q247" s="2">
        <v>6.2366172318832201E-2</v>
      </c>
    </row>
    <row r="248" spans="1:17" x14ac:dyDescent="0.2">
      <c r="A248" s="1" t="s">
        <v>233</v>
      </c>
      <c r="B248" s="2">
        <v>5.8505425668296897E-2</v>
      </c>
      <c r="C248" s="2">
        <v>6.83415404717886E-2</v>
      </c>
      <c r="D248" s="2">
        <v>7.3851119545142702E-2</v>
      </c>
      <c r="E248" s="2">
        <v>6.6229265048266303E-2</v>
      </c>
      <c r="F248" s="2">
        <v>3.8216986698809602E-2</v>
      </c>
      <c r="G248" s="2">
        <v>4.82088603352578E-2</v>
      </c>
      <c r="H248" s="6">
        <f t="shared" si="10"/>
        <v>0.16173561266642372</v>
      </c>
      <c r="I248" s="2">
        <v>0.109155264964857</v>
      </c>
      <c r="J248" s="2">
        <v>8.6919781189988804E-2</v>
      </c>
      <c r="K248" s="2">
        <v>8.8086066575562394E-2</v>
      </c>
      <c r="L248" s="2">
        <v>7.5090745710960305E-2</v>
      </c>
      <c r="M248" s="2">
        <v>8.7016865517661607E-2</v>
      </c>
      <c r="N248" s="2">
        <v>9.4295632547960195E-2</v>
      </c>
      <c r="O248" s="6" t="s">
        <v>370</v>
      </c>
      <c r="P248" s="2">
        <v>7.4467152250667107E-2</v>
      </c>
      <c r="Q248" s="2">
        <v>6.1009467655423803E-2</v>
      </c>
    </row>
    <row r="249" spans="1:17" x14ac:dyDescent="0.2">
      <c r="A249" s="1" t="s">
        <v>234</v>
      </c>
      <c r="B249" s="2">
        <v>7.5791464329403493E-2</v>
      </c>
      <c r="C249" s="2">
        <v>6.2745639374102297E-2</v>
      </c>
      <c r="D249" s="2">
        <v>6.3966189619081903E-2</v>
      </c>
      <c r="E249" s="2">
        <v>4.7123261042861499E-2</v>
      </c>
      <c r="F249" s="2">
        <v>7.4828847529646803E-2</v>
      </c>
      <c r="G249" s="2">
        <v>7.2203726809579302E-2</v>
      </c>
      <c r="H249" s="6">
        <f t="shared" si="10"/>
        <v>0.78975078702435086</v>
      </c>
      <c r="I249" s="2">
        <v>5.9586284856791398E-2</v>
      </c>
      <c r="J249" s="2">
        <v>6.2723369250324304E-2</v>
      </c>
      <c r="K249" s="2">
        <v>7.89120869193317E-2</v>
      </c>
      <c r="L249" s="2">
        <v>6.6496462715159799E-2</v>
      </c>
      <c r="M249" s="2">
        <v>6.0938803045703802E-2</v>
      </c>
      <c r="N249" s="2">
        <v>5.4309094869539901E-2</v>
      </c>
      <c r="O249" s="6" t="s">
        <v>370</v>
      </c>
      <c r="P249" s="2">
        <v>7.9697707721709005E-2</v>
      </c>
      <c r="Q249" s="2">
        <v>6.68496174809462E-2</v>
      </c>
    </row>
    <row r="250" spans="1:17" x14ac:dyDescent="0.2">
      <c r="A250" s="1" t="s">
        <v>235</v>
      </c>
      <c r="B250" s="2">
        <v>1.7666584293311902E-2</v>
      </c>
      <c r="C250" s="2">
        <v>1.5039926506445899E-2</v>
      </c>
      <c r="D250" s="2">
        <v>2.42728391420109E-2</v>
      </c>
      <c r="E250" s="2">
        <v>1.9155893648248799E-2</v>
      </c>
      <c r="F250" s="2">
        <v>2.0555971864400099E-2</v>
      </c>
      <c r="G250" s="2">
        <v>1.8212359702213601E-2</v>
      </c>
      <c r="H250" s="6">
        <f t="shared" si="10"/>
        <v>0.91673692607720236</v>
      </c>
      <c r="I250" s="2">
        <v>2.5458805709556501E-2</v>
      </c>
      <c r="J250" s="2">
        <v>1.3550525510059299E-2</v>
      </c>
      <c r="K250" s="2">
        <v>1.45097574399933E-2</v>
      </c>
      <c r="L250" s="2">
        <v>1.34467972531368E-2</v>
      </c>
      <c r="M250" s="2">
        <v>1.55697429306255E-2</v>
      </c>
      <c r="N250" s="2">
        <v>1.97518390802363E-2</v>
      </c>
      <c r="O250" s="6" t="s">
        <v>370</v>
      </c>
      <c r="P250" s="2">
        <v>1.8001099323679201E-2</v>
      </c>
      <c r="Q250" s="2">
        <v>1.9210599497678799E-2</v>
      </c>
    </row>
    <row r="251" spans="1:17" x14ac:dyDescent="0.2">
      <c r="A251" s="1" t="s">
        <v>236</v>
      </c>
      <c r="B251" s="2">
        <v>8.7421034330655498E-2</v>
      </c>
      <c r="C251" s="2">
        <v>7.7355977944761803E-2</v>
      </c>
      <c r="D251" s="2">
        <v>8.1665828317388195E-2</v>
      </c>
      <c r="E251" s="2">
        <v>7.9298146879756198E-2</v>
      </c>
      <c r="F251" s="2">
        <v>8.2159504273387099E-2</v>
      </c>
      <c r="G251" s="2">
        <v>7.4395502564871901E-2</v>
      </c>
      <c r="H251" s="6">
        <f t="shared" si="10"/>
        <v>0.39329845605252606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6" t="s">
        <v>370</v>
      </c>
      <c r="P251" s="2">
        <v>3.8824815470344699E-2</v>
      </c>
      <c r="Q251" s="2">
        <v>3.7699432467848799E-2</v>
      </c>
    </row>
    <row r="252" spans="1:17" x14ac:dyDescent="0.2">
      <c r="A252" s="1" t="s">
        <v>237</v>
      </c>
      <c r="B252" s="2">
        <v>0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6" t="s">
        <v>370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6" t="s">
        <v>370</v>
      </c>
      <c r="P252" s="2">
        <v>0</v>
      </c>
      <c r="Q252" s="2">
        <v>0</v>
      </c>
    </row>
    <row r="253" spans="1:17" x14ac:dyDescent="0.2">
      <c r="A253" s="1" t="s">
        <v>238</v>
      </c>
      <c r="B253" s="2">
        <v>0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6" t="s">
        <v>370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6" t="s">
        <v>370</v>
      </c>
      <c r="P253" s="2">
        <v>0</v>
      </c>
      <c r="Q253" s="2">
        <v>0</v>
      </c>
    </row>
    <row r="254" spans="1:17" x14ac:dyDescent="0.2">
      <c r="A254" s="1" t="s">
        <v>239</v>
      </c>
      <c r="B254" s="2">
        <v>0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6" t="s">
        <v>370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6" t="s">
        <v>370</v>
      </c>
      <c r="P254" s="2">
        <v>0</v>
      </c>
      <c r="Q254" s="2">
        <v>0</v>
      </c>
    </row>
    <row r="255" spans="1:17" x14ac:dyDescent="0.2">
      <c r="A255" s="1" t="s">
        <v>240</v>
      </c>
      <c r="B255" s="2">
        <v>0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6" t="s">
        <v>370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6" t="s">
        <v>370</v>
      </c>
      <c r="P255" s="2">
        <v>0</v>
      </c>
      <c r="Q255" s="2">
        <v>0</v>
      </c>
    </row>
    <row r="256" spans="1:17" x14ac:dyDescent="0.2">
      <c r="A256" s="1" t="s">
        <v>241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6" t="s">
        <v>370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6" t="s">
        <v>370</v>
      </c>
      <c r="P256" s="2">
        <v>0</v>
      </c>
      <c r="Q256" s="2">
        <v>0</v>
      </c>
    </row>
    <row r="257" spans="1:17" x14ac:dyDescent="0.2">
      <c r="H257" s="6" t="s">
        <v>370</v>
      </c>
      <c r="O257" s="6" t="s">
        <v>370</v>
      </c>
    </row>
    <row r="258" spans="1:17" x14ac:dyDescent="0.2">
      <c r="A258" s="1" t="s">
        <v>242</v>
      </c>
      <c r="B258" s="2">
        <v>0.92860763029617899</v>
      </c>
      <c r="C258" s="2">
        <v>0.87645357534125401</v>
      </c>
      <c r="D258" s="2">
        <v>0.88640519970158604</v>
      </c>
      <c r="E258" s="2">
        <v>0.77347280488986303</v>
      </c>
      <c r="F258" s="2">
        <v>0.66327132964873603</v>
      </c>
      <c r="G258" s="2">
        <v>0.83362640181663705</v>
      </c>
      <c r="H258" s="6">
        <f t="shared" si="10"/>
        <v>5.5239583749917914E-2</v>
      </c>
      <c r="I258" s="2">
        <v>0.74918755158185502</v>
      </c>
      <c r="J258" s="2">
        <v>0.67563230469684599</v>
      </c>
      <c r="K258" s="2">
        <v>0.74442873576730095</v>
      </c>
      <c r="L258" s="2">
        <v>0.76232807540594505</v>
      </c>
      <c r="M258" s="2">
        <v>0.67899715536372895</v>
      </c>
      <c r="N258" s="2">
        <v>0.61564862222721894</v>
      </c>
      <c r="O258" s="6">
        <f t="shared" si="11"/>
        <v>0.48480970851977406</v>
      </c>
      <c r="P258" s="2">
        <v>0.70877031725816897</v>
      </c>
      <c r="Q258" s="2">
        <v>0.71205354154725597</v>
      </c>
    </row>
    <row r="259" spans="1:17" x14ac:dyDescent="0.2">
      <c r="A259" s="1" t="s">
        <v>243</v>
      </c>
      <c r="B259" s="2">
        <v>0</v>
      </c>
      <c r="C259" s="2">
        <v>2.16534359047812E-2</v>
      </c>
      <c r="D259" s="2">
        <v>0</v>
      </c>
      <c r="E259" s="2">
        <v>1.4519519273432801E-2</v>
      </c>
      <c r="F259" s="2">
        <v>0</v>
      </c>
      <c r="G259" s="2">
        <v>0</v>
      </c>
      <c r="H259" s="6">
        <f t="shared" ref="H259:H319" si="12">TTEST(B259:D259,E259:G259,2,2)</f>
        <v>0.79791267449852354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6" t="s">
        <v>370</v>
      </c>
      <c r="P259" s="2">
        <v>0</v>
      </c>
      <c r="Q259" s="2">
        <v>3.5335629957905498E-2</v>
      </c>
    </row>
    <row r="260" spans="1:17" x14ac:dyDescent="0.2">
      <c r="A260" s="1" t="s">
        <v>244</v>
      </c>
      <c r="B260" s="2">
        <v>7.1392369703820499E-2</v>
      </c>
      <c r="C260" s="2">
        <v>0.10189298875396501</v>
      </c>
      <c r="D260" s="2">
        <v>0.113594800298414</v>
      </c>
      <c r="E260" s="2">
        <v>0.21200767583670399</v>
      </c>
      <c r="F260" s="2">
        <v>0.33672867035126403</v>
      </c>
      <c r="G260" s="2">
        <v>0.166373598183363</v>
      </c>
      <c r="H260" s="6">
        <f t="shared" si="12"/>
        <v>5.2887545342726799E-2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8.7798834750331206E-2</v>
      </c>
      <c r="O260" s="6" t="s">
        <v>370</v>
      </c>
      <c r="P260" s="2">
        <v>0.101663951367224</v>
      </c>
      <c r="Q260" s="2">
        <v>0.14501494915482299</v>
      </c>
    </row>
    <row r="261" spans="1:17" x14ac:dyDescent="0.2">
      <c r="A261" s="1" t="s">
        <v>245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6" t="s">
        <v>370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6" t="s">
        <v>370</v>
      </c>
      <c r="P261" s="2">
        <v>0</v>
      </c>
      <c r="Q261" s="2">
        <v>0</v>
      </c>
    </row>
    <row r="262" spans="1:17" x14ac:dyDescent="0.2">
      <c r="A262" s="1" t="s">
        <v>246</v>
      </c>
      <c r="B262" s="2">
        <v>0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6" t="s">
        <v>370</v>
      </c>
      <c r="I262" s="2">
        <v>0.16887380021303</v>
      </c>
      <c r="J262" s="2">
        <v>0.13724618883405701</v>
      </c>
      <c r="K262" s="2">
        <v>8.7213643650517703E-2</v>
      </c>
      <c r="L262" s="2">
        <v>0.223931710611215</v>
      </c>
      <c r="M262" s="2">
        <v>0.24254082360340401</v>
      </c>
      <c r="N262" s="2">
        <v>0.24974763477523401</v>
      </c>
      <c r="O262" s="6" t="s">
        <v>370</v>
      </c>
      <c r="P262" s="2">
        <v>0.189565731374607</v>
      </c>
      <c r="Q262" s="2">
        <v>0.10759587934001601</v>
      </c>
    </row>
    <row r="263" spans="1:17" x14ac:dyDescent="0.2">
      <c r="A263" s="1" t="s">
        <v>247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6" t="s">
        <v>370</v>
      </c>
      <c r="I263" s="2">
        <v>8.1938648205114595E-2</v>
      </c>
      <c r="J263" s="2">
        <v>0.187121506469097</v>
      </c>
      <c r="K263" s="2">
        <v>0.16835762058218201</v>
      </c>
      <c r="L263" s="2">
        <v>1.3740213982839901E-2</v>
      </c>
      <c r="M263" s="2">
        <v>7.8462021032866702E-2</v>
      </c>
      <c r="N263" s="2">
        <v>4.6804908247216503E-2</v>
      </c>
      <c r="O263" s="6" t="s">
        <v>370</v>
      </c>
      <c r="P263" s="2">
        <v>0</v>
      </c>
      <c r="Q263" s="2">
        <v>0</v>
      </c>
    </row>
    <row r="264" spans="1:17" x14ac:dyDescent="0.2">
      <c r="A264" s="1" t="s">
        <v>248</v>
      </c>
      <c r="B264" s="2">
        <v>0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6" t="s">
        <v>370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6" t="s">
        <v>370</v>
      </c>
      <c r="P264" s="2">
        <v>0</v>
      </c>
      <c r="Q264" s="2">
        <v>0</v>
      </c>
    </row>
    <row r="265" spans="1:17" x14ac:dyDescent="0.2">
      <c r="H265" s="6" t="s">
        <v>370</v>
      </c>
      <c r="O265" s="6" t="s">
        <v>370</v>
      </c>
    </row>
    <row r="266" spans="1:17" x14ac:dyDescent="0.2">
      <c r="A266" s="1" t="s">
        <v>249</v>
      </c>
      <c r="B266" s="2">
        <v>0.70980898117471303</v>
      </c>
      <c r="C266" s="2">
        <v>0.713563620292473</v>
      </c>
      <c r="D266" s="2">
        <v>0.72295454151757899</v>
      </c>
      <c r="E266" s="2">
        <v>0.70924876045969198</v>
      </c>
      <c r="F266" s="2">
        <v>0.72271684479839005</v>
      </c>
      <c r="G266" s="2">
        <v>0.70788603125090999</v>
      </c>
      <c r="H266" s="6">
        <f t="shared" si="12"/>
        <v>0.74286041691417737</v>
      </c>
      <c r="I266" s="2">
        <v>0.99449131150546599</v>
      </c>
      <c r="J266" s="2">
        <v>0.99478529525315296</v>
      </c>
      <c r="K266" s="2">
        <v>0.99299937676050598</v>
      </c>
      <c r="L266" s="2">
        <v>0.99271024264654295</v>
      </c>
      <c r="M266" s="2">
        <v>0.99268645043840498</v>
      </c>
      <c r="N266" s="2">
        <v>0.992928974959849</v>
      </c>
      <c r="O266" s="6" t="s">
        <v>370</v>
      </c>
      <c r="P266" s="2">
        <v>0.85660314449700703</v>
      </c>
      <c r="Q266" s="2">
        <v>0.85866956069717104</v>
      </c>
    </row>
    <row r="267" spans="1:17" x14ac:dyDescent="0.2">
      <c r="A267" s="1" t="s">
        <v>250</v>
      </c>
      <c r="B267" s="2">
        <v>5.3639679714235101E-3</v>
      </c>
      <c r="C267" s="2">
        <v>5.1316067797964396E-3</v>
      </c>
      <c r="D267" s="2">
        <v>5.30398598305757E-3</v>
      </c>
      <c r="E267" s="2">
        <v>4.44212295013428E-3</v>
      </c>
      <c r="F267" s="2">
        <v>4.4952207900261897E-3</v>
      </c>
      <c r="G267" s="2">
        <v>4.7738863659216096E-3</v>
      </c>
      <c r="H267" s="6">
        <f t="shared" si="12"/>
        <v>4.9827889668490498E-3</v>
      </c>
      <c r="I267" s="2">
        <v>1.0849859761348001E-3</v>
      </c>
      <c r="J267" s="2">
        <v>9.1857594598106305E-4</v>
      </c>
      <c r="K267" s="2">
        <v>1.8530523264008399E-3</v>
      </c>
      <c r="L267" s="2">
        <v>2.1039457607759499E-3</v>
      </c>
      <c r="M267" s="2">
        <v>2.1176966369151301E-3</v>
      </c>
      <c r="N267" s="2">
        <v>1.89108161080161E-3</v>
      </c>
      <c r="O267" s="6" t="s">
        <v>370</v>
      </c>
      <c r="P267" s="2">
        <v>3.3622358613247202E-3</v>
      </c>
      <c r="Q267" s="2">
        <v>3.2709208557045E-3</v>
      </c>
    </row>
    <row r="268" spans="1:17" x14ac:dyDescent="0.2">
      <c r="A268" s="1" t="s">
        <v>251</v>
      </c>
      <c r="B268" s="2">
        <v>9.1132028943917594E-3</v>
      </c>
      <c r="C268" s="2">
        <v>9.5694254983181605E-3</v>
      </c>
      <c r="D268" s="2">
        <v>9.7297109127662297E-3</v>
      </c>
      <c r="E268" s="2">
        <v>8.9911875457400602E-3</v>
      </c>
      <c r="F268" s="2">
        <v>9.0316537040999196E-3</v>
      </c>
      <c r="G268" s="2">
        <v>7.6438446537424399E-3</v>
      </c>
      <c r="H268" s="6">
        <f t="shared" si="12"/>
        <v>0.13636046987323377</v>
      </c>
      <c r="I268" s="2">
        <v>1.85503402826377E-3</v>
      </c>
      <c r="J268" s="2">
        <v>2.0707914354129099E-3</v>
      </c>
      <c r="K268" s="2">
        <v>2.7301448203236899E-3</v>
      </c>
      <c r="L268" s="2">
        <v>2.7382759817648999E-3</v>
      </c>
      <c r="M268" s="2">
        <v>2.4597881461058901E-3</v>
      </c>
      <c r="N268" s="2">
        <v>2.75142869328687E-3</v>
      </c>
      <c r="O268" s="6" t="s">
        <v>370</v>
      </c>
      <c r="P268" s="2">
        <v>5.7745085202969004E-3</v>
      </c>
      <c r="Q268" s="2">
        <v>5.4272738318954404E-3</v>
      </c>
    </row>
    <row r="269" spans="1:17" x14ac:dyDescent="0.2">
      <c r="A269" s="1" t="s">
        <v>252</v>
      </c>
      <c r="B269" s="2">
        <v>0.27571384795947201</v>
      </c>
      <c r="C269" s="2">
        <v>0.27173534742941202</v>
      </c>
      <c r="D269" s="2">
        <v>0.262011761586597</v>
      </c>
      <c r="E269" s="2">
        <v>0.27731792904443298</v>
      </c>
      <c r="F269" s="2">
        <v>0.26375628070748403</v>
      </c>
      <c r="G269" s="2">
        <v>0.27969623772942598</v>
      </c>
      <c r="H269" s="6">
        <f t="shared" si="12"/>
        <v>0.58858625469199999</v>
      </c>
      <c r="I269" s="2">
        <v>2.5686684901357199E-3</v>
      </c>
      <c r="J269" s="2">
        <v>2.2253373654533099E-3</v>
      </c>
      <c r="K269" s="2">
        <v>2.41742609276928E-3</v>
      </c>
      <c r="L269" s="2">
        <v>2.4475356109159101E-3</v>
      </c>
      <c r="M269" s="2">
        <v>2.7360647785739599E-3</v>
      </c>
      <c r="N269" s="2">
        <v>2.42851473606222E-3</v>
      </c>
      <c r="O269" s="6" t="s">
        <v>370</v>
      </c>
      <c r="P269" s="2">
        <v>0.13426011112137101</v>
      </c>
      <c r="Q269" s="2">
        <v>0.13263224461522899</v>
      </c>
    </row>
    <row r="270" spans="1:17" x14ac:dyDescent="0.2">
      <c r="H270" s="6" t="s">
        <v>370</v>
      </c>
      <c r="O270" s="6" t="s">
        <v>370</v>
      </c>
    </row>
    <row r="271" spans="1:17" x14ac:dyDescent="0.2">
      <c r="A271" s="1" t="s">
        <v>253</v>
      </c>
      <c r="B271" s="2">
        <v>0.942565789849242</v>
      </c>
      <c r="C271" s="2">
        <v>0.94661448752766997</v>
      </c>
      <c r="D271" s="2">
        <v>0.95045178709774003</v>
      </c>
      <c r="E271" s="2">
        <v>0.91971905617930405</v>
      </c>
      <c r="F271" s="2">
        <v>0.91930958564523502</v>
      </c>
      <c r="G271" s="2">
        <v>0.90239430040495605</v>
      </c>
      <c r="H271" s="6">
        <f t="shared" si="12"/>
        <v>5.9768077790847522E-3</v>
      </c>
      <c r="I271" s="2">
        <v>0.57862215623240898</v>
      </c>
      <c r="J271" s="2">
        <v>0.59543944788976799</v>
      </c>
      <c r="K271" s="2">
        <v>0.58509513322501605</v>
      </c>
      <c r="L271" s="2">
        <v>0.57668759195531505</v>
      </c>
      <c r="M271" s="2">
        <v>0.58954607904667999</v>
      </c>
      <c r="N271" s="2">
        <v>0.583308456669694</v>
      </c>
      <c r="O271" s="6" t="s">
        <v>370</v>
      </c>
      <c r="P271" s="2">
        <v>0.74475006735894</v>
      </c>
      <c r="Q271" s="2">
        <v>0.75468569900372895</v>
      </c>
    </row>
    <row r="272" spans="1:17" x14ac:dyDescent="0.2">
      <c r="A272" s="1" t="s">
        <v>254</v>
      </c>
      <c r="B272" s="2">
        <v>8.2745505515009199E-3</v>
      </c>
      <c r="C272" s="2">
        <v>5.1706784646241904E-3</v>
      </c>
      <c r="D272" s="2">
        <v>2.11886699715933E-3</v>
      </c>
      <c r="E272" s="2">
        <v>8.2764410962512004E-3</v>
      </c>
      <c r="F272" s="2">
        <v>9.9479978034534098E-3</v>
      </c>
      <c r="G272" s="2">
        <v>1.9314885818143401E-2</v>
      </c>
      <c r="H272" s="6">
        <f t="shared" si="12"/>
        <v>0.13113383913409882</v>
      </c>
      <c r="I272" s="2">
        <v>1.25494759886336E-2</v>
      </c>
      <c r="J272" s="2">
        <v>1.5557502907673401E-2</v>
      </c>
      <c r="K272" s="2">
        <v>1.11993030028514E-2</v>
      </c>
      <c r="L272" s="2">
        <v>1.9242907986233002E-2</v>
      </c>
      <c r="M272" s="2">
        <v>1.98215930921634E-2</v>
      </c>
      <c r="N272" s="2">
        <v>1.7385254225234799E-2</v>
      </c>
      <c r="O272" s="6" t="s">
        <v>370</v>
      </c>
      <c r="P272" s="2">
        <v>8.6557452210947895E-3</v>
      </c>
      <c r="Q272" s="2">
        <v>8.89151910552014E-3</v>
      </c>
    </row>
    <row r="273" spans="1:17" x14ac:dyDescent="0.2">
      <c r="A273" s="1" t="s">
        <v>255</v>
      </c>
      <c r="B273" s="2">
        <v>3.4527371641518798E-2</v>
      </c>
      <c r="C273" s="2">
        <v>3.1057725870443399E-2</v>
      </c>
      <c r="D273" s="2">
        <v>3.06997801347603E-2</v>
      </c>
      <c r="E273" s="2">
        <v>5.6344562914372898E-2</v>
      </c>
      <c r="F273" s="2">
        <v>5.2589255698466501E-2</v>
      </c>
      <c r="G273" s="2">
        <v>6.2399517865913502E-2</v>
      </c>
      <c r="H273" s="6">
        <f t="shared" si="12"/>
        <v>1.2928021969960237E-3</v>
      </c>
      <c r="I273" s="2">
        <v>5.7499881886112499E-2</v>
      </c>
      <c r="J273" s="2">
        <v>5.71907648508422E-2</v>
      </c>
      <c r="K273" s="2">
        <v>5.7063950695515897E-2</v>
      </c>
      <c r="L273" s="2">
        <v>7.8547519603299101E-2</v>
      </c>
      <c r="M273" s="2">
        <v>7.9849575670776496E-2</v>
      </c>
      <c r="N273" s="2">
        <v>7.5329472758002503E-2</v>
      </c>
      <c r="O273" s="6" t="s">
        <v>370</v>
      </c>
      <c r="P273" s="2">
        <v>5.3488180810237401E-2</v>
      </c>
      <c r="Q273" s="2">
        <v>5.4309483134738899E-2</v>
      </c>
    </row>
    <row r="274" spans="1:17" x14ac:dyDescent="0.2">
      <c r="A274" s="1" t="s">
        <v>256</v>
      </c>
      <c r="B274" s="2">
        <v>1.46322879577384E-2</v>
      </c>
      <c r="C274" s="2">
        <v>1.71571081372629E-2</v>
      </c>
      <c r="D274" s="2">
        <v>1.6729565770339998E-2</v>
      </c>
      <c r="E274" s="2">
        <v>1.56599398100719E-2</v>
      </c>
      <c r="F274" s="2">
        <v>1.8153160852845102E-2</v>
      </c>
      <c r="G274" s="2">
        <v>1.58912959109869E-2</v>
      </c>
      <c r="H274" s="6">
        <f t="shared" si="12"/>
        <v>0.74074059843284845</v>
      </c>
      <c r="I274" s="2">
        <v>7.43976589769869E-2</v>
      </c>
      <c r="J274" s="2">
        <v>7.4429669174466903E-2</v>
      </c>
      <c r="K274" s="2">
        <v>7.73581331225522E-2</v>
      </c>
      <c r="L274" s="2">
        <v>4.2265359759120699E-2</v>
      </c>
      <c r="M274" s="2">
        <v>4.0921294229575397E-2</v>
      </c>
      <c r="N274" s="2">
        <v>3.9218366653003697E-2</v>
      </c>
      <c r="O274" s="6" t="s">
        <v>370</v>
      </c>
      <c r="P274" s="2">
        <v>4.5941774447798699E-2</v>
      </c>
      <c r="Q274" s="2">
        <v>4.1284513913715397E-2</v>
      </c>
    </row>
    <row r="275" spans="1:17" x14ac:dyDescent="0.2">
      <c r="A275" s="1" t="s">
        <v>257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6" t="s">
        <v>370</v>
      </c>
      <c r="I275" s="2">
        <v>0.27693082691585802</v>
      </c>
      <c r="J275" s="2">
        <v>0.25738261517724897</v>
      </c>
      <c r="K275" s="2">
        <v>0.26928347995406499</v>
      </c>
      <c r="L275" s="2">
        <v>0.28325662069603202</v>
      </c>
      <c r="M275" s="2">
        <v>0.26986145796080502</v>
      </c>
      <c r="N275" s="2">
        <v>0.284758449694065</v>
      </c>
      <c r="O275" s="6" t="s">
        <v>370</v>
      </c>
      <c r="P275" s="2">
        <v>0.147164232161929</v>
      </c>
      <c r="Q275" s="2">
        <v>0.140828784842296</v>
      </c>
    </row>
    <row r="276" spans="1:17" x14ac:dyDescent="0.2">
      <c r="H276" s="6" t="s">
        <v>370</v>
      </c>
      <c r="O276" s="6" t="s">
        <v>370</v>
      </c>
    </row>
    <row r="277" spans="1:17" x14ac:dyDescent="0.2">
      <c r="A277" s="1" t="s">
        <v>258</v>
      </c>
      <c r="B277" s="2">
        <v>0.76453674278059003</v>
      </c>
      <c r="C277" s="2">
        <v>0.80224223599912503</v>
      </c>
      <c r="D277" s="2">
        <v>0.815137625757962</v>
      </c>
      <c r="E277" s="2">
        <v>0.83744981794610396</v>
      </c>
      <c r="F277" s="2">
        <v>0.84856914016438501</v>
      </c>
      <c r="G277" s="2">
        <v>0.81150445715235398</v>
      </c>
      <c r="H277" s="6">
        <f t="shared" si="12"/>
        <v>0.10885810006598881</v>
      </c>
      <c r="I277" s="2">
        <v>0.94923707993840001</v>
      </c>
      <c r="J277" s="2">
        <v>0.94910826244714697</v>
      </c>
      <c r="K277" s="2">
        <v>0.95983099155996898</v>
      </c>
      <c r="L277" s="2">
        <v>0.96833879208562501</v>
      </c>
      <c r="M277" s="2">
        <v>0.97781142206817395</v>
      </c>
      <c r="N277" s="2">
        <v>0.977926875126643</v>
      </c>
      <c r="O277" s="6">
        <f t="shared" ref="O277:O317" si="13">TTEST(I277:K277,L277:N277,2,2)</f>
        <v>9.9639254477965847E-3</v>
      </c>
      <c r="P277" s="2">
        <v>0.91195708129408604</v>
      </c>
      <c r="Q277" s="2">
        <v>0.92037059478438499</v>
      </c>
    </row>
    <row r="278" spans="1:17" x14ac:dyDescent="0.2">
      <c r="A278" s="1" t="s">
        <v>259</v>
      </c>
      <c r="B278" s="2">
        <v>6.9175403804920002E-2</v>
      </c>
      <c r="C278" s="2">
        <v>2.0219675746898098E-2</v>
      </c>
      <c r="D278" s="2">
        <v>1.88671782030135E-2</v>
      </c>
      <c r="E278" s="2">
        <v>1.1998094489393599E-2</v>
      </c>
      <c r="F278" s="2">
        <v>4.3518471683348199E-3</v>
      </c>
      <c r="G278" s="2">
        <v>3.4625101555903801E-2</v>
      </c>
      <c r="H278" s="6">
        <f t="shared" si="12"/>
        <v>0.36902806696723961</v>
      </c>
      <c r="I278" s="2">
        <v>4.7034378974019998E-2</v>
      </c>
      <c r="J278" s="2">
        <v>5.0891737552852701E-2</v>
      </c>
      <c r="K278" s="2">
        <v>3.6344641057444699E-2</v>
      </c>
      <c r="L278" s="2">
        <v>2.9908389851572601E-2</v>
      </c>
      <c r="M278" s="2">
        <v>2.2188577931825701E-2</v>
      </c>
      <c r="N278" s="2">
        <v>2.2073124873356598E-2</v>
      </c>
      <c r="O278" s="6">
        <f t="shared" si="13"/>
        <v>1.6743061518338351E-2</v>
      </c>
      <c r="P278" s="2">
        <v>2.4807425757040001E-2</v>
      </c>
      <c r="Q278" s="2">
        <v>2.6138027262687099E-2</v>
      </c>
    </row>
    <row r="279" spans="1:17" x14ac:dyDescent="0.2">
      <c r="A279" s="1" t="s">
        <v>260</v>
      </c>
      <c r="B279" s="2">
        <v>3.3640412603050403E-2</v>
      </c>
      <c r="C279" s="2">
        <v>3.6554726268367699E-2</v>
      </c>
      <c r="D279" s="2">
        <v>4.19404571791148E-2</v>
      </c>
      <c r="E279" s="2">
        <v>2.0869937220002199E-2</v>
      </c>
      <c r="F279" s="2">
        <v>3.0667003407908601E-2</v>
      </c>
      <c r="G279" s="2">
        <v>3.7899923238066499E-2</v>
      </c>
      <c r="H279" s="6">
        <f t="shared" si="12"/>
        <v>0.24100280473348534</v>
      </c>
      <c r="I279" s="2">
        <v>3.7285410875797001E-3</v>
      </c>
      <c r="J279" s="2">
        <v>0</v>
      </c>
      <c r="K279" s="2">
        <v>3.8243673825866299E-3</v>
      </c>
      <c r="L279" s="2">
        <v>1.7528180628026001E-3</v>
      </c>
      <c r="M279" s="2">
        <v>0</v>
      </c>
      <c r="N279" s="2">
        <v>0</v>
      </c>
      <c r="O279" s="6">
        <f t="shared" si="13"/>
        <v>0.23609219370289097</v>
      </c>
      <c r="P279" s="2">
        <v>1.8017091783581601E-2</v>
      </c>
      <c r="Q279" s="2">
        <v>7.8743005182667393E-3</v>
      </c>
    </row>
    <row r="280" spans="1:17" x14ac:dyDescent="0.2">
      <c r="A280" s="1" t="s">
        <v>261</v>
      </c>
      <c r="B280" s="2">
        <v>3.19990866209078E-2</v>
      </c>
      <c r="C280" s="2">
        <v>6.9393612808331603E-2</v>
      </c>
      <c r="D280" s="2">
        <v>2.6978562107959299E-2</v>
      </c>
      <c r="E280" s="2">
        <v>6.5166099773738606E-2</v>
      </c>
      <c r="F280" s="2">
        <v>3.7445689292120499E-2</v>
      </c>
      <c r="G280" s="2">
        <v>4.22805651510696E-2</v>
      </c>
      <c r="H280" s="6">
        <f t="shared" si="12"/>
        <v>0.74619787789260561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6" t="s">
        <v>370</v>
      </c>
      <c r="P280" s="2">
        <v>2.0348270005405102E-2</v>
      </c>
      <c r="Q280" s="2">
        <v>2.33184973622769E-2</v>
      </c>
    </row>
    <row r="281" spans="1:17" x14ac:dyDescent="0.2">
      <c r="A281" s="1" t="s">
        <v>262</v>
      </c>
      <c r="B281" s="2">
        <v>2.6086607872539198E-2</v>
      </c>
      <c r="C281" s="2">
        <v>3.9167549398251896E-3</v>
      </c>
      <c r="D281" s="2">
        <v>2.0529903850172702E-2</v>
      </c>
      <c r="E281" s="2">
        <v>9.1472773666054098E-3</v>
      </c>
      <c r="F281" s="2">
        <v>1.4682462048644601E-2</v>
      </c>
      <c r="G281" s="2">
        <v>1.1799063512807101E-2</v>
      </c>
      <c r="H281" s="6">
        <f t="shared" si="12"/>
        <v>0.50838093457213918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6" t="s">
        <v>370</v>
      </c>
      <c r="P281" s="2">
        <v>0</v>
      </c>
      <c r="Q281" s="2">
        <v>0</v>
      </c>
    </row>
    <row r="282" spans="1:17" x14ac:dyDescent="0.2">
      <c r="A282" s="1" t="s">
        <v>263</v>
      </c>
      <c r="B282" s="2">
        <v>7.4561746317992297E-2</v>
      </c>
      <c r="C282" s="2">
        <v>6.7672994237452197E-2</v>
      </c>
      <c r="D282" s="2">
        <v>7.1078173937628095E-2</v>
      </c>
      <c r="E282" s="2">
        <v>5.53687732041565E-2</v>
      </c>
      <c r="F282" s="2">
        <v>6.4283857918606302E-2</v>
      </c>
      <c r="G282" s="2">
        <v>6.1890889389798698E-2</v>
      </c>
      <c r="H282" s="6">
        <f t="shared" si="12"/>
        <v>3.3359822766743694E-2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6" t="s">
        <v>370</v>
      </c>
      <c r="P282" s="2">
        <v>2.4870131159887399E-2</v>
      </c>
      <c r="Q282" s="2">
        <v>2.2298580072384201E-2</v>
      </c>
    </row>
    <row r="283" spans="1:17" x14ac:dyDescent="0.2">
      <c r="A283" s="1" t="s">
        <v>264</v>
      </c>
      <c r="B283" s="2">
        <v>0</v>
      </c>
      <c r="C283" s="2">
        <v>0</v>
      </c>
      <c r="D283" s="2">
        <v>5.4680989641499797E-3</v>
      </c>
      <c r="E283" s="2">
        <v>0</v>
      </c>
      <c r="F283" s="2">
        <v>0</v>
      </c>
      <c r="G283" s="2">
        <v>0</v>
      </c>
      <c r="H283" s="6">
        <f t="shared" si="12"/>
        <v>0.37390096630005903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6" t="s">
        <v>370</v>
      </c>
      <c r="P283" s="2">
        <v>0</v>
      </c>
      <c r="Q283" s="2">
        <v>0</v>
      </c>
    </row>
    <row r="284" spans="1:17" x14ac:dyDescent="0.2">
      <c r="A284" s="1" t="s">
        <v>265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6" t="s">
        <v>370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6" t="s">
        <v>370</v>
      </c>
      <c r="P284" s="2">
        <v>0</v>
      </c>
      <c r="Q284" s="2">
        <v>0</v>
      </c>
    </row>
    <row r="285" spans="1:17" x14ac:dyDescent="0.2">
      <c r="A285" s="1" t="s">
        <v>266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6" t="s">
        <v>370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6" t="s">
        <v>370</v>
      </c>
      <c r="P285" s="2">
        <v>0</v>
      </c>
      <c r="Q285" s="2">
        <v>0</v>
      </c>
    </row>
    <row r="286" spans="1:17" x14ac:dyDescent="0.2">
      <c r="A286" s="1" t="s">
        <v>267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6" t="s">
        <v>370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6" t="s">
        <v>370</v>
      </c>
      <c r="P286" s="2">
        <v>0</v>
      </c>
      <c r="Q286" s="2">
        <v>0</v>
      </c>
    </row>
    <row r="287" spans="1:17" x14ac:dyDescent="0.2">
      <c r="A287" s="1" t="s">
        <v>268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6" t="s">
        <v>370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6" t="s">
        <v>370</v>
      </c>
      <c r="P287" s="2">
        <v>0</v>
      </c>
      <c r="Q287" s="2">
        <v>0</v>
      </c>
    </row>
    <row r="288" spans="1:17" x14ac:dyDescent="0.2">
      <c r="H288" s="6" t="s">
        <v>370</v>
      </c>
      <c r="O288" s="6" t="s">
        <v>370</v>
      </c>
    </row>
    <row r="289" spans="1:17" x14ac:dyDescent="0.2">
      <c r="A289" s="1" t="s">
        <v>269</v>
      </c>
      <c r="B289" s="2">
        <v>0.80836259853222203</v>
      </c>
      <c r="C289" s="2">
        <v>0.813749287935708</v>
      </c>
      <c r="D289" s="2">
        <v>0.82553163658357698</v>
      </c>
      <c r="E289" s="2">
        <v>0.81357552917795095</v>
      </c>
      <c r="F289" s="2">
        <v>0.83689450521752395</v>
      </c>
      <c r="G289" s="2">
        <v>0.86133055669840097</v>
      </c>
      <c r="H289" s="6">
        <f t="shared" si="12"/>
        <v>0.21914180967853006</v>
      </c>
      <c r="I289" s="2">
        <v>0.93652101940285604</v>
      </c>
      <c r="J289" s="2">
        <v>0.94977125428204301</v>
      </c>
      <c r="K289" s="2">
        <v>0.96651150463664404</v>
      </c>
      <c r="L289" s="2">
        <v>0.96476945302936301</v>
      </c>
      <c r="M289" s="2">
        <v>0.97617155817174295</v>
      </c>
      <c r="N289" s="2">
        <v>0.97733690319008004</v>
      </c>
      <c r="O289" s="6" t="s">
        <v>370</v>
      </c>
      <c r="P289" s="2">
        <v>0.89442460206140995</v>
      </c>
      <c r="Q289" s="2">
        <v>0.90819425724512903</v>
      </c>
    </row>
    <row r="290" spans="1:17" x14ac:dyDescent="0.2">
      <c r="A290" s="1" t="s">
        <v>270</v>
      </c>
      <c r="B290" s="2">
        <v>0</v>
      </c>
      <c r="C290" s="2">
        <v>8.2096666188618099E-3</v>
      </c>
      <c r="D290" s="2">
        <v>0</v>
      </c>
      <c r="E290" s="2">
        <v>0</v>
      </c>
      <c r="F290" s="2">
        <v>9.7860086963125707E-3</v>
      </c>
      <c r="G290" s="2">
        <v>0</v>
      </c>
      <c r="H290" s="6">
        <f t="shared" si="12"/>
        <v>0.90773771983838936</v>
      </c>
      <c r="I290" s="2">
        <v>3.9736524269808102E-2</v>
      </c>
      <c r="J290" s="2">
        <v>1.6329552549946402E-2</v>
      </c>
      <c r="K290" s="2">
        <v>1.93595058379102E-3</v>
      </c>
      <c r="L290" s="2">
        <v>1.1275377832416399E-2</v>
      </c>
      <c r="M290" s="2">
        <v>0</v>
      </c>
      <c r="N290" s="2">
        <v>1.18541858636379E-2</v>
      </c>
      <c r="O290" s="6">
        <f t="shared" si="13"/>
        <v>0.37563782271250634</v>
      </c>
      <c r="P290" s="2">
        <v>1.39372439439543E-2</v>
      </c>
      <c r="Q290" s="2">
        <v>0</v>
      </c>
    </row>
    <row r="291" spans="1:17" x14ac:dyDescent="0.2">
      <c r="A291" s="1" t="s">
        <v>271</v>
      </c>
      <c r="B291" s="2">
        <v>6.2939962906893507E-2</v>
      </c>
      <c r="C291" s="2">
        <v>5.0395932613032698E-2</v>
      </c>
      <c r="D291" s="2">
        <v>5.1536382350285501E-2</v>
      </c>
      <c r="E291" s="2">
        <v>5.5710109650342898E-2</v>
      </c>
      <c r="F291" s="2">
        <v>4.3410910540053298E-2</v>
      </c>
      <c r="G291" s="2">
        <v>1.7609933713620199E-2</v>
      </c>
      <c r="H291" s="6">
        <f t="shared" si="12"/>
        <v>0.24943690059167456</v>
      </c>
      <c r="I291" s="2">
        <v>1.7402637749125802E-2</v>
      </c>
      <c r="J291" s="2">
        <v>2.4058997083462898E-2</v>
      </c>
      <c r="K291" s="2">
        <v>3.1519615923543902E-2</v>
      </c>
      <c r="L291" s="2">
        <v>2.0841927552771401E-2</v>
      </c>
      <c r="M291" s="2">
        <v>2.3828441828256601E-2</v>
      </c>
      <c r="N291" s="2">
        <v>7.5874563707767897E-3</v>
      </c>
      <c r="O291" s="6">
        <f t="shared" si="13"/>
        <v>0.3441507027851764</v>
      </c>
      <c r="P291" s="2">
        <v>4.3094821852609398E-2</v>
      </c>
      <c r="Q291" s="2">
        <v>3.6986320761310601E-2</v>
      </c>
    </row>
    <row r="292" spans="1:17" x14ac:dyDescent="0.2">
      <c r="A292" s="1" t="s">
        <v>272</v>
      </c>
      <c r="B292" s="2">
        <v>3.6812910711271497E-2</v>
      </c>
      <c r="C292" s="2">
        <v>4.4781442506952603E-2</v>
      </c>
      <c r="D292" s="2">
        <v>4.9878973260982298E-2</v>
      </c>
      <c r="E292" s="2">
        <v>4.1813420913568503E-2</v>
      </c>
      <c r="F292" s="2">
        <v>3.8958374522366397E-2</v>
      </c>
      <c r="G292" s="2">
        <v>4.3019601792796902E-2</v>
      </c>
      <c r="H292" s="6">
        <f t="shared" si="12"/>
        <v>0.555785047824082</v>
      </c>
      <c r="I292" s="2">
        <v>5.1373483558108104E-3</v>
      </c>
      <c r="J292" s="2">
        <v>9.8401960845475502E-3</v>
      </c>
      <c r="K292" s="2">
        <v>3.2928856021020602E-5</v>
      </c>
      <c r="L292" s="2">
        <v>3.1132415854490101E-3</v>
      </c>
      <c r="M292" s="2">
        <v>0</v>
      </c>
      <c r="N292" s="2">
        <v>3.2214545755049799E-3</v>
      </c>
      <c r="O292" s="6">
        <f t="shared" si="13"/>
        <v>0.39284705694344124</v>
      </c>
      <c r="P292" s="2">
        <v>1.68637465734164E-2</v>
      </c>
      <c r="Q292" s="2">
        <v>1.66815727728147E-2</v>
      </c>
    </row>
    <row r="293" spans="1:17" x14ac:dyDescent="0.2">
      <c r="A293" s="1" t="s">
        <v>273</v>
      </c>
      <c r="B293" s="2">
        <v>1.5657583011102202E-2</v>
      </c>
      <c r="C293" s="2">
        <v>1.37511151768931E-2</v>
      </c>
      <c r="D293" s="2">
        <v>1.5836444673058898E-2</v>
      </c>
      <c r="E293" s="2">
        <v>1.52905244073643E-2</v>
      </c>
      <c r="F293" s="2">
        <v>9.1412190619409896E-3</v>
      </c>
      <c r="G293" s="2">
        <v>8.2014511054992797E-3</v>
      </c>
      <c r="H293" s="6">
        <f t="shared" si="12"/>
        <v>0.14433307119122901</v>
      </c>
      <c r="I293" s="2">
        <v>1.20247022239967E-3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6">
        <f t="shared" si="13"/>
        <v>0.37390096630005903</v>
      </c>
      <c r="P293" s="2">
        <v>7.7228179194206801E-3</v>
      </c>
      <c r="Q293" s="2">
        <v>8.7320331675844395E-3</v>
      </c>
    </row>
    <row r="294" spans="1:17" x14ac:dyDescent="0.2">
      <c r="A294" s="1" t="s">
        <v>274</v>
      </c>
      <c r="B294" s="2">
        <v>6.7218074310863005E-2</v>
      </c>
      <c r="C294" s="2">
        <v>6.2511443515003803E-2</v>
      </c>
      <c r="D294" s="2">
        <v>4.9982422292485201E-2</v>
      </c>
      <c r="E294" s="2">
        <v>5.9249112178246299E-2</v>
      </c>
      <c r="F294" s="2">
        <v>5.2409902234491899E-2</v>
      </c>
      <c r="G294" s="2">
        <v>6.8486909651069905E-2</v>
      </c>
      <c r="H294" s="6">
        <f t="shared" si="12"/>
        <v>0.98436648659035275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6" t="s">
        <v>370</v>
      </c>
      <c r="P294" s="2">
        <v>2.2934723891429601E-2</v>
      </c>
      <c r="Q294" s="2">
        <v>2.87430601636748E-2</v>
      </c>
    </row>
    <row r="295" spans="1:17" x14ac:dyDescent="0.2">
      <c r="A295" s="1" t="s">
        <v>275</v>
      </c>
      <c r="B295" s="2">
        <v>9.0088705276472007E-3</v>
      </c>
      <c r="C295" s="2">
        <v>1.3222863391870599E-3</v>
      </c>
      <c r="D295" s="2">
        <v>2.7126809414188499E-3</v>
      </c>
      <c r="E295" s="2">
        <v>6.8931160699845203E-3</v>
      </c>
      <c r="F295" s="2">
        <v>9.3990797273111899E-3</v>
      </c>
      <c r="G295" s="2">
        <v>1.3515470386121799E-3</v>
      </c>
      <c r="H295" s="6">
        <f t="shared" si="12"/>
        <v>0.6712281282122905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6" t="s">
        <v>370</v>
      </c>
      <c r="P295" s="2">
        <v>1.0220437577601301E-3</v>
      </c>
      <c r="Q295" s="2">
        <v>6.6275588948633095E-4</v>
      </c>
    </row>
    <row r="296" spans="1:17" x14ac:dyDescent="0.2">
      <c r="A296" s="1" t="s">
        <v>276</v>
      </c>
      <c r="B296" s="2">
        <v>0</v>
      </c>
      <c r="C296" s="2">
        <v>5.2788252943608803E-3</v>
      </c>
      <c r="D296" s="2">
        <v>4.5214598981920904E-3</v>
      </c>
      <c r="E296" s="2">
        <v>4.5430522101856698E-3</v>
      </c>
      <c r="F296" s="2">
        <v>0</v>
      </c>
      <c r="G296" s="2">
        <v>0</v>
      </c>
      <c r="H296" s="6">
        <f t="shared" si="12"/>
        <v>0.47739008730447741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6" t="s">
        <v>370</v>
      </c>
      <c r="P296" s="2">
        <v>0</v>
      </c>
      <c r="Q296" s="2">
        <v>0</v>
      </c>
    </row>
    <row r="297" spans="1:17" x14ac:dyDescent="0.2">
      <c r="A297" s="1" t="s">
        <v>277</v>
      </c>
      <c r="B297" s="2">
        <v>0</v>
      </c>
      <c r="C297" s="2">
        <v>0</v>
      </c>
      <c r="D297" s="2">
        <v>0</v>
      </c>
      <c r="E297" s="2">
        <v>2.9251353923571101E-3</v>
      </c>
      <c r="F297" s="2">
        <v>0</v>
      </c>
      <c r="G297" s="2">
        <v>0</v>
      </c>
      <c r="H297" s="6">
        <f t="shared" si="12"/>
        <v>0.37390096630005903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6" t="s">
        <v>370</v>
      </c>
      <c r="P297" s="2">
        <v>0</v>
      </c>
      <c r="Q297" s="2">
        <v>0</v>
      </c>
    </row>
    <row r="298" spans="1:17" x14ac:dyDescent="0.2">
      <c r="A298" s="1" t="s">
        <v>278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6" t="s">
        <v>370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6" t="s">
        <v>370</v>
      </c>
      <c r="P298" s="2">
        <v>0</v>
      </c>
      <c r="Q298" s="2">
        <v>0</v>
      </c>
    </row>
    <row r="299" spans="1:17" x14ac:dyDescent="0.2">
      <c r="A299" s="1" t="s">
        <v>279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6" t="s">
        <v>370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6" t="s">
        <v>370</v>
      </c>
      <c r="P299" s="2">
        <v>0</v>
      </c>
      <c r="Q299" s="2">
        <v>0</v>
      </c>
    </row>
    <row r="300" spans="1:17" x14ac:dyDescent="0.2">
      <c r="H300" s="6" t="s">
        <v>370</v>
      </c>
      <c r="O300" s="6" t="s">
        <v>370</v>
      </c>
    </row>
    <row r="301" spans="1:17" x14ac:dyDescent="0.2">
      <c r="A301" s="1" t="s">
        <v>280</v>
      </c>
      <c r="B301" s="2">
        <v>1</v>
      </c>
      <c r="C301" s="2">
        <v>1</v>
      </c>
      <c r="D301" s="2">
        <v>1</v>
      </c>
      <c r="E301" s="2">
        <v>1</v>
      </c>
      <c r="F301" s="2">
        <v>1</v>
      </c>
      <c r="G301" s="2">
        <v>1</v>
      </c>
      <c r="H301" s="6" t="s">
        <v>370</v>
      </c>
      <c r="I301" s="2">
        <v>1</v>
      </c>
      <c r="J301" s="2">
        <v>1</v>
      </c>
      <c r="K301" s="2">
        <v>1</v>
      </c>
      <c r="L301" s="2">
        <v>1</v>
      </c>
      <c r="M301" s="2">
        <v>1</v>
      </c>
      <c r="N301" s="2">
        <v>1</v>
      </c>
      <c r="O301" s="6" t="s">
        <v>370</v>
      </c>
      <c r="P301" s="2">
        <v>1</v>
      </c>
      <c r="Q301" s="2">
        <v>1</v>
      </c>
    </row>
    <row r="302" spans="1:17" x14ac:dyDescent="0.2">
      <c r="A302" s="1" t="s">
        <v>281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6" t="s">
        <v>370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6" t="s">
        <v>370</v>
      </c>
      <c r="P302" s="2">
        <v>0</v>
      </c>
      <c r="Q302" s="2">
        <v>0</v>
      </c>
    </row>
    <row r="303" spans="1:17" x14ac:dyDescent="0.2">
      <c r="A303" s="1" t="s">
        <v>282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6" t="s">
        <v>370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6" t="s">
        <v>370</v>
      </c>
      <c r="P303" s="2">
        <v>0</v>
      </c>
      <c r="Q303" s="2">
        <v>0</v>
      </c>
    </row>
    <row r="304" spans="1:17" x14ac:dyDescent="0.2">
      <c r="A304" s="1" t="s">
        <v>283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6" t="s">
        <v>370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6" t="s">
        <v>370</v>
      </c>
      <c r="P304" s="2">
        <v>0</v>
      </c>
      <c r="Q304" s="2">
        <v>0</v>
      </c>
    </row>
    <row r="305" spans="1:17" x14ac:dyDescent="0.2">
      <c r="A305" s="1" t="s">
        <v>284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6" t="s">
        <v>370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6" t="s">
        <v>370</v>
      </c>
      <c r="P305" s="2">
        <v>0</v>
      </c>
      <c r="Q305" s="2">
        <v>0</v>
      </c>
    </row>
    <row r="306" spans="1:17" x14ac:dyDescent="0.2">
      <c r="A306" s="1" t="s">
        <v>285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6" t="s">
        <v>370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6" t="s">
        <v>370</v>
      </c>
      <c r="P306" s="2">
        <v>0</v>
      </c>
      <c r="Q306" s="2">
        <v>0</v>
      </c>
    </row>
    <row r="307" spans="1:17" x14ac:dyDescent="0.2">
      <c r="A307" s="1" t="s">
        <v>286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6" t="s">
        <v>370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6" t="s">
        <v>370</v>
      </c>
      <c r="P307" s="2">
        <v>0</v>
      </c>
      <c r="Q307" s="2">
        <v>0</v>
      </c>
    </row>
    <row r="308" spans="1:17" x14ac:dyDescent="0.2">
      <c r="A308" s="1" t="s">
        <v>287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6" t="s">
        <v>370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6" t="s">
        <v>370</v>
      </c>
      <c r="P308" s="2">
        <v>0</v>
      </c>
      <c r="Q308" s="2">
        <v>0</v>
      </c>
    </row>
    <row r="309" spans="1:17" x14ac:dyDescent="0.2">
      <c r="A309" s="1" t="s">
        <v>288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6" t="s">
        <v>370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6" t="s">
        <v>370</v>
      </c>
      <c r="P309" s="2">
        <v>0</v>
      </c>
      <c r="Q309" s="2">
        <v>0</v>
      </c>
    </row>
    <row r="310" spans="1:17" x14ac:dyDescent="0.2">
      <c r="A310" s="1" t="s">
        <v>289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6" t="s">
        <v>370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6" t="s">
        <v>370</v>
      </c>
      <c r="P310" s="2">
        <v>0</v>
      </c>
      <c r="Q310" s="2">
        <v>0</v>
      </c>
    </row>
    <row r="311" spans="1:17" x14ac:dyDescent="0.2">
      <c r="A311" s="1" t="s">
        <v>290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6" t="s">
        <v>370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6" t="s">
        <v>370</v>
      </c>
      <c r="P311" s="2">
        <v>0</v>
      </c>
      <c r="Q311" s="2">
        <v>0</v>
      </c>
    </row>
    <row r="312" spans="1:17" x14ac:dyDescent="0.2">
      <c r="H312" s="6" t="s">
        <v>370</v>
      </c>
      <c r="O312" s="6" t="s">
        <v>370</v>
      </c>
    </row>
    <row r="313" spans="1:17" x14ac:dyDescent="0.2">
      <c r="A313" s="1" t="s">
        <v>291</v>
      </c>
      <c r="B313" s="2">
        <v>0.90332651535328301</v>
      </c>
      <c r="C313" s="2">
        <v>0.89245393146403096</v>
      </c>
      <c r="D313" s="2">
        <v>0.89259081013453301</v>
      </c>
      <c r="E313" s="2">
        <v>0.89765675531367395</v>
      </c>
      <c r="F313" s="2">
        <v>0.91031005793356801</v>
      </c>
      <c r="G313" s="2">
        <v>0.90498754774293599</v>
      </c>
      <c r="H313" s="6">
        <f t="shared" si="12"/>
        <v>0.18614933155133079</v>
      </c>
      <c r="I313" s="2">
        <v>0.97270472731281199</v>
      </c>
      <c r="J313" s="2">
        <v>0.97269636074668797</v>
      </c>
      <c r="K313" s="2">
        <v>0.97247521057834696</v>
      </c>
      <c r="L313" s="2">
        <v>0.97338622601439795</v>
      </c>
      <c r="M313" s="2">
        <v>0.98191343940867104</v>
      </c>
      <c r="N313" s="2">
        <v>0.97167573804623097</v>
      </c>
      <c r="O313" s="6">
        <f t="shared" si="13"/>
        <v>0.39246352579763333</v>
      </c>
      <c r="P313" s="2">
        <v>0.93732497235727796</v>
      </c>
      <c r="Q313" s="2">
        <v>0.94034369283506203</v>
      </c>
    </row>
    <row r="314" spans="1:17" x14ac:dyDescent="0.2">
      <c r="A314" s="1" t="s">
        <v>292</v>
      </c>
      <c r="B314" s="2">
        <v>0</v>
      </c>
      <c r="C314" s="2">
        <v>8.4775558648795008E-3</v>
      </c>
      <c r="D314" s="2">
        <v>0</v>
      </c>
      <c r="E314" s="2">
        <v>1.83978366811232E-3</v>
      </c>
      <c r="F314" s="2">
        <v>0</v>
      </c>
      <c r="G314" s="2">
        <v>0</v>
      </c>
      <c r="H314" s="6">
        <f t="shared" si="12"/>
        <v>0.48682200695423639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6.8922899326773601E-3</v>
      </c>
      <c r="O314" s="6">
        <f t="shared" si="13"/>
        <v>0.37390096630005903</v>
      </c>
      <c r="P314" s="2">
        <v>1.308355842466E-2</v>
      </c>
      <c r="Q314" s="2">
        <v>3.8282682637322198E-4</v>
      </c>
    </row>
    <row r="315" spans="1:17" x14ac:dyDescent="0.2">
      <c r="A315" s="1" t="s">
        <v>293</v>
      </c>
      <c r="B315" s="2">
        <v>2.9910785693820101E-2</v>
      </c>
      <c r="C315" s="2">
        <v>3.2213153321050098E-2</v>
      </c>
      <c r="D315" s="2">
        <v>4.6219923027231997E-2</v>
      </c>
      <c r="E315" s="2">
        <v>3.9130001974867601E-2</v>
      </c>
      <c r="F315" s="2">
        <v>2.8280805392122198E-2</v>
      </c>
      <c r="G315" s="2">
        <v>3.3262391933483397E-2</v>
      </c>
      <c r="H315" s="6">
        <f t="shared" si="12"/>
        <v>0.69114017909171321</v>
      </c>
      <c r="I315" s="2">
        <v>2.51623153844499E-2</v>
      </c>
      <c r="J315" s="2">
        <v>2.4044461023604399E-2</v>
      </c>
      <c r="K315" s="2">
        <v>2.2402082706214899E-2</v>
      </c>
      <c r="L315" s="2">
        <v>2.5505913089448801E-2</v>
      </c>
      <c r="M315" s="2">
        <v>1.8086560591329098E-2</v>
      </c>
      <c r="N315" s="2">
        <v>1.9707779416101801E-2</v>
      </c>
      <c r="O315" s="6">
        <f t="shared" si="13"/>
        <v>0.31109027922081672</v>
      </c>
      <c r="P315" s="2">
        <v>2.2842810540556001E-2</v>
      </c>
      <c r="Q315" s="2">
        <v>3.0077079177406402E-2</v>
      </c>
    </row>
    <row r="316" spans="1:17" x14ac:dyDescent="0.2">
      <c r="A316" s="1" t="s">
        <v>294</v>
      </c>
      <c r="B316" s="2">
        <v>2.2410022110379599E-2</v>
      </c>
      <c r="C316" s="2">
        <v>2.65220274529426E-2</v>
      </c>
      <c r="D316" s="2">
        <v>2.06799884585522E-2</v>
      </c>
      <c r="E316" s="2">
        <v>2.0982501482646701E-2</v>
      </c>
      <c r="F316" s="2">
        <v>1.9344555862573401E-2</v>
      </c>
      <c r="G316" s="2">
        <v>2.1573421160048199E-2</v>
      </c>
      <c r="H316" s="6">
        <f t="shared" si="12"/>
        <v>0.23837552185410887</v>
      </c>
      <c r="I316" s="2">
        <v>8.9034825861537804E-4</v>
      </c>
      <c r="J316" s="2">
        <v>1.9576405038410098E-3</v>
      </c>
      <c r="K316" s="2">
        <v>3.8348048533361299E-3</v>
      </c>
      <c r="L316" s="2">
        <v>1.10786089615312E-3</v>
      </c>
      <c r="M316" s="2">
        <v>0</v>
      </c>
      <c r="N316" s="2">
        <v>1.72419260499009E-3</v>
      </c>
      <c r="O316" s="6">
        <f t="shared" si="13"/>
        <v>0.26761547933817043</v>
      </c>
      <c r="P316" s="2">
        <v>7.8698881803900902E-3</v>
      </c>
      <c r="Q316" s="2">
        <v>1.0382095799155101E-2</v>
      </c>
    </row>
    <row r="317" spans="1:17" x14ac:dyDescent="0.2">
      <c r="A317" s="1" t="s">
        <v>295</v>
      </c>
      <c r="B317" s="2">
        <v>6.8907059669147301E-3</v>
      </c>
      <c r="C317" s="2">
        <v>7.0064450259163203E-3</v>
      </c>
      <c r="D317" s="2">
        <v>7.3234429499598004E-3</v>
      </c>
      <c r="E317" s="2">
        <v>8.3558086546097095E-3</v>
      </c>
      <c r="F317" s="2">
        <v>7.8827723236678596E-3</v>
      </c>
      <c r="G317" s="2">
        <v>6.6540469107839902E-3</v>
      </c>
      <c r="H317" s="6">
        <f t="shared" si="12"/>
        <v>0.34693515041928996</v>
      </c>
      <c r="I317" s="2">
        <v>1.2426090441228601E-3</v>
      </c>
      <c r="J317" s="2">
        <v>1.30153772586705E-3</v>
      </c>
      <c r="K317" s="2">
        <v>1.2879018621017901E-3</v>
      </c>
      <c r="L317" s="2">
        <v>0</v>
      </c>
      <c r="M317" s="2">
        <v>0</v>
      </c>
      <c r="N317" s="2">
        <v>0</v>
      </c>
      <c r="O317" s="6">
        <f t="shared" si="13"/>
        <v>2.2650172357513264E-7</v>
      </c>
      <c r="P317" s="2">
        <v>4.5501475340543902E-3</v>
      </c>
      <c r="Q317" s="2">
        <v>3.3075665655606899E-3</v>
      </c>
    </row>
    <row r="318" spans="1:17" x14ac:dyDescent="0.2">
      <c r="A318" s="1" t="s">
        <v>296</v>
      </c>
      <c r="B318" s="2">
        <v>3.4726218252331797E-2</v>
      </c>
      <c r="C318" s="2">
        <v>3.0773638236411899E-2</v>
      </c>
      <c r="D318" s="2">
        <v>3.0133634031965301E-2</v>
      </c>
      <c r="E318" s="2">
        <v>2.9584136795089099E-2</v>
      </c>
      <c r="F318" s="2">
        <v>3.1920567741325602E-2</v>
      </c>
      <c r="G318" s="2">
        <v>2.969249893933E-2</v>
      </c>
      <c r="H318" s="6">
        <f t="shared" si="12"/>
        <v>0.41441983193633636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6" t="s">
        <v>370</v>
      </c>
      <c r="P318" s="2">
        <v>1.2198976805502099E-2</v>
      </c>
      <c r="Q318" s="2">
        <v>1.43319055607543E-2</v>
      </c>
    </row>
    <row r="319" spans="1:17" x14ac:dyDescent="0.2">
      <c r="A319" s="1" t="s">
        <v>297</v>
      </c>
      <c r="B319" s="2">
        <v>2.73575262327101E-3</v>
      </c>
      <c r="C319" s="2">
        <v>2.5532486347690599E-3</v>
      </c>
      <c r="D319" s="2">
        <v>3.0522013977579698E-3</v>
      </c>
      <c r="E319" s="2">
        <v>2.4510121110006698E-3</v>
      </c>
      <c r="F319" s="2">
        <v>2.2612407467431598E-3</v>
      </c>
      <c r="G319" s="2">
        <v>3.8300933134185399E-3</v>
      </c>
      <c r="H319" s="6">
        <f t="shared" si="12"/>
        <v>0.9027768624683139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6" t="s">
        <v>370</v>
      </c>
      <c r="P319" s="2">
        <v>2.1296461575589999E-3</v>
      </c>
      <c r="Q319" s="2">
        <v>1.17483323568827E-3</v>
      </c>
    </row>
    <row r="320" spans="1:17" x14ac:dyDescent="0.2">
      <c r="A320" s="1" t="s">
        <v>298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6" t="s">
        <v>370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6" t="s">
        <v>370</v>
      </c>
      <c r="P320" s="2">
        <v>0</v>
      </c>
      <c r="Q320" s="2">
        <v>0</v>
      </c>
    </row>
    <row r="321" spans="1:17" x14ac:dyDescent="0.2">
      <c r="A321" s="1" t="s">
        <v>299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6" t="s">
        <v>370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6" t="s">
        <v>370</v>
      </c>
      <c r="P321" s="2">
        <v>0</v>
      </c>
      <c r="Q321" s="2">
        <v>0</v>
      </c>
    </row>
    <row r="322" spans="1:17" x14ac:dyDescent="0.2">
      <c r="A322" s="1" t="s">
        <v>300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6" t="s">
        <v>370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6" t="s">
        <v>370</v>
      </c>
      <c r="P322" s="2">
        <v>0</v>
      </c>
      <c r="Q322" s="2">
        <v>0</v>
      </c>
    </row>
    <row r="323" spans="1:17" x14ac:dyDescent="0.2">
      <c r="A323" s="1" t="s">
        <v>301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6" t="s">
        <v>370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6" t="s">
        <v>370</v>
      </c>
      <c r="P323" s="2">
        <v>0</v>
      </c>
      <c r="Q323" s="2">
        <v>0</v>
      </c>
    </row>
    <row r="324" spans="1:17" x14ac:dyDescent="0.2">
      <c r="H324" s="6" t="s">
        <v>370</v>
      </c>
      <c r="O324" s="6" t="s">
        <v>370</v>
      </c>
    </row>
    <row r="325" spans="1:17" x14ac:dyDescent="0.2">
      <c r="A325" s="1" t="s">
        <v>302</v>
      </c>
      <c r="B325" s="2">
        <v>0.50472547786218103</v>
      </c>
      <c r="C325" s="2">
        <v>0.52319511500918703</v>
      </c>
      <c r="D325" s="2">
        <v>0.46824180289993</v>
      </c>
      <c r="E325" s="2">
        <v>0.51480924648172599</v>
      </c>
      <c r="F325" s="2">
        <v>0.514307523454136</v>
      </c>
      <c r="G325" s="2">
        <v>0.54313740206633798</v>
      </c>
      <c r="H325" s="6">
        <f t="shared" ref="H325:H374" si="14">TTEST(B325:D325,E325:G325,2,2)</f>
        <v>0.24747961972750274</v>
      </c>
      <c r="I325" s="2">
        <v>0.98749187467420096</v>
      </c>
      <c r="J325" s="2">
        <v>1</v>
      </c>
      <c r="K325" s="2">
        <v>0.997710896111762</v>
      </c>
      <c r="L325" s="2">
        <v>0.99190026510089302</v>
      </c>
      <c r="M325" s="2">
        <v>0.99401376538280095</v>
      </c>
      <c r="N325" s="2">
        <v>0.98036235288637896</v>
      </c>
      <c r="O325" s="6">
        <f t="shared" ref="O325:O367" si="15">TTEST(I325:K325,L325:N325,2,2)</f>
        <v>0.33236048018965547</v>
      </c>
      <c r="P325" s="2">
        <v>0.77671431219308695</v>
      </c>
      <c r="Q325" s="2">
        <v>0.78461339956054899</v>
      </c>
    </row>
    <row r="326" spans="1:17" x14ac:dyDescent="0.2">
      <c r="A326" s="1" t="s">
        <v>303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6" t="s">
        <v>370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6" t="s">
        <v>370</v>
      </c>
      <c r="P326" s="2">
        <v>0</v>
      </c>
      <c r="Q326" s="2">
        <v>0</v>
      </c>
    </row>
    <row r="327" spans="1:17" x14ac:dyDescent="0.2">
      <c r="A327" s="1" t="s">
        <v>304</v>
      </c>
      <c r="B327" s="2">
        <v>1.6739223398454E-2</v>
      </c>
      <c r="C327" s="2">
        <v>1.7196362304381398E-2</v>
      </c>
      <c r="D327" s="2">
        <v>2.3876180387944101E-2</v>
      </c>
      <c r="E327" s="2">
        <v>1.7703420365306401E-2</v>
      </c>
      <c r="F327" s="2">
        <v>2.5563668183775302E-2</v>
      </c>
      <c r="G327" s="2">
        <v>1.2958237669829099E-2</v>
      </c>
      <c r="H327" s="6">
        <f t="shared" si="14"/>
        <v>0.90888628081490797</v>
      </c>
      <c r="I327" s="2">
        <v>8.7348059941733096E-3</v>
      </c>
      <c r="J327" s="2">
        <v>0</v>
      </c>
      <c r="K327" s="2">
        <v>0</v>
      </c>
      <c r="L327" s="2">
        <v>0</v>
      </c>
      <c r="M327" s="2">
        <v>0</v>
      </c>
      <c r="N327" s="2">
        <v>1.42757114320904E-2</v>
      </c>
      <c r="O327" s="6">
        <f>TTEST(I327:K327,L327:N327,2,2)</f>
        <v>0.75720364980840815</v>
      </c>
      <c r="P327" s="2">
        <v>1.3388687245888001E-2</v>
      </c>
      <c r="Q327" s="2">
        <v>8.4029539453150098E-3</v>
      </c>
    </row>
    <row r="328" spans="1:17" x14ac:dyDescent="0.2">
      <c r="A328" s="1" t="s">
        <v>305</v>
      </c>
      <c r="B328" s="2">
        <v>0.47853529873936501</v>
      </c>
      <c r="C328" s="2">
        <v>0.45960852268643099</v>
      </c>
      <c r="D328" s="2">
        <v>0.50788201671212596</v>
      </c>
      <c r="E328" s="2">
        <v>0.46748733315296798</v>
      </c>
      <c r="F328" s="2">
        <v>0.46012880836208803</v>
      </c>
      <c r="G328" s="2">
        <v>0.44390436026383301</v>
      </c>
      <c r="H328" s="6">
        <f t="shared" si="14"/>
        <v>0.18830815623267441</v>
      </c>
      <c r="I328" s="2">
        <v>3.77331933162614E-3</v>
      </c>
      <c r="J328" s="2">
        <v>0</v>
      </c>
      <c r="K328" s="2">
        <v>2.2891038882375501E-3</v>
      </c>
      <c r="L328" s="2">
        <v>8.0997348991067499E-3</v>
      </c>
      <c r="M328" s="2">
        <v>5.9862346171987296E-3</v>
      </c>
      <c r="N328" s="2">
        <v>5.3619356815306001E-3</v>
      </c>
      <c r="O328" s="6" t="s">
        <v>370</v>
      </c>
      <c r="P328" s="2">
        <v>0.209897000561025</v>
      </c>
      <c r="Q328" s="2">
        <v>0.206983646494136</v>
      </c>
    </row>
    <row r="329" spans="1:17" x14ac:dyDescent="0.2">
      <c r="H329" s="6" t="s">
        <v>370</v>
      </c>
      <c r="O329" s="6" t="s">
        <v>370</v>
      </c>
    </row>
    <row r="330" spans="1:17" x14ac:dyDescent="0.2">
      <c r="A330" s="1" t="s">
        <v>306</v>
      </c>
      <c r="B330" s="2">
        <v>0.66213129427995498</v>
      </c>
      <c r="C330" s="2">
        <v>0.68391253323116896</v>
      </c>
      <c r="D330" s="2">
        <v>0.66577602883989395</v>
      </c>
      <c r="E330" s="2">
        <v>0.70003139097678302</v>
      </c>
      <c r="F330" s="2">
        <v>0.70165706881171996</v>
      </c>
      <c r="G330" s="2">
        <v>0.64536157185054699</v>
      </c>
      <c r="H330" s="6">
        <f t="shared" si="14"/>
        <v>0.58297901328008228</v>
      </c>
      <c r="I330" s="2">
        <v>1</v>
      </c>
      <c r="J330" s="2">
        <v>1</v>
      </c>
      <c r="K330" s="2">
        <v>1</v>
      </c>
      <c r="L330" s="2">
        <v>1</v>
      </c>
      <c r="M330" s="2">
        <v>1</v>
      </c>
      <c r="N330" s="2">
        <v>1</v>
      </c>
      <c r="O330" s="6" t="s">
        <v>370</v>
      </c>
      <c r="P330" s="2">
        <v>0.87433947105335097</v>
      </c>
      <c r="Q330" s="2">
        <v>0.86663330492330704</v>
      </c>
    </row>
    <row r="331" spans="1:17" x14ac:dyDescent="0.2">
      <c r="A331" s="1" t="s">
        <v>307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6" t="s">
        <v>370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6" t="s">
        <v>370</v>
      </c>
      <c r="P331" s="2">
        <v>0</v>
      </c>
      <c r="Q331" s="2">
        <v>0</v>
      </c>
    </row>
    <row r="332" spans="1:17" x14ac:dyDescent="0.2">
      <c r="A332" s="1" t="s">
        <v>308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6" t="s">
        <v>370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6" t="s">
        <v>370</v>
      </c>
      <c r="P332" s="2">
        <v>0</v>
      </c>
      <c r="Q332" s="2">
        <v>0</v>
      </c>
    </row>
    <row r="333" spans="1:17" x14ac:dyDescent="0.2">
      <c r="A333" s="1" t="s">
        <v>309</v>
      </c>
      <c r="B333" s="2">
        <v>0.33786870572004502</v>
      </c>
      <c r="C333" s="2">
        <v>0.31608746676883098</v>
      </c>
      <c r="D333" s="2">
        <v>0.33422397116010599</v>
      </c>
      <c r="E333" s="2">
        <v>0.29996860902321698</v>
      </c>
      <c r="F333" s="2">
        <v>0.29834293118827998</v>
      </c>
      <c r="G333" s="2">
        <v>0.35463842814945301</v>
      </c>
      <c r="H333" s="6">
        <f t="shared" si="14"/>
        <v>0.58297901328008472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6" t="s">
        <v>370</v>
      </c>
      <c r="P333" s="2">
        <v>0.125660528946649</v>
      </c>
      <c r="Q333" s="2">
        <v>0.13336669507669299</v>
      </c>
    </row>
    <row r="334" spans="1:17" x14ac:dyDescent="0.2">
      <c r="H334" s="6" t="s">
        <v>370</v>
      </c>
      <c r="O334" s="6" t="s">
        <v>370</v>
      </c>
    </row>
    <row r="335" spans="1:17" x14ac:dyDescent="0.2">
      <c r="A335" s="1" t="s">
        <v>310</v>
      </c>
      <c r="B335" s="2">
        <v>1</v>
      </c>
      <c r="C335" s="2">
        <v>1</v>
      </c>
      <c r="D335" s="2">
        <v>1</v>
      </c>
      <c r="E335" s="2">
        <v>1</v>
      </c>
      <c r="F335" s="2">
        <v>1</v>
      </c>
      <c r="G335" s="2">
        <v>1</v>
      </c>
      <c r="H335" s="6" t="s">
        <v>370</v>
      </c>
      <c r="I335" s="2">
        <v>1</v>
      </c>
      <c r="J335" s="2">
        <v>1</v>
      </c>
      <c r="K335" s="2">
        <v>1</v>
      </c>
      <c r="L335" s="2">
        <v>1</v>
      </c>
      <c r="M335" s="2">
        <v>1</v>
      </c>
      <c r="N335" s="2">
        <v>1</v>
      </c>
      <c r="O335" s="6" t="s">
        <v>370</v>
      </c>
      <c r="P335" s="2">
        <v>1</v>
      </c>
      <c r="Q335" s="2">
        <v>1</v>
      </c>
    </row>
    <row r="336" spans="1:17" x14ac:dyDescent="0.2">
      <c r="A336" s="1" t="s">
        <v>311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6" t="s">
        <v>370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6" t="s">
        <v>370</v>
      </c>
      <c r="P336" s="2">
        <v>0</v>
      </c>
      <c r="Q336" s="2">
        <v>0</v>
      </c>
    </row>
    <row r="337" spans="1:17" x14ac:dyDescent="0.2">
      <c r="A337" s="1" t="s">
        <v>312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6" t="s">
        <v>371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6" t="s">
        <v>370</v>
      </c>
      <c r="P337" s="2">
        <v>0</v>
      </c>
      <c r="Q337" s="2">
        <v>0</v>
      </c>
    </row>
    <row r="338" spans="1:17" x14ac:dyDescent="0.2">
      <c r="A338" s="1" t="s">
        <v>313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6" t="s">
        <v>370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6" t="s">
        <v>370</v>
      </c>
      <c r="P338" s="2">
        <v>0</v>
      </c>
      <c r="Q338" s="2">
        <v>0</v>
      </c>
    </row>
    <row r="339" spans="1:17" x14ac:dyDescent="0.2">
      <c r="A339" s="1" t="s">
        <v>314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6" t="s">
        <v>370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6" t="s">
        <v>370</v>
      </c>
      <c r="P339" s="2">
        <v>0</v>
      </c>
      <c r="Q339" s="2">
        <v>0</v>
      </c>
    </row>
    <row r="340" spans="1:17" x14ac:dyDescent="0.2">
      <c r="A340" s="1" t="s">
        <v>315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6" t="s">
        <v>370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6" t="s">
        <v>370</v>
      </c>
      <c r="P340" s="2">
        <v>0</v>
      </c>
      <c r="Q340" s="2">
        <v>0</v>
      </c>
    </row>
    <row r="341" spans="1:17" x14ac:dyDescent="0.2">
      <c r="A341" s="1" t="s">
        <v>316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6" t="s">
        <v>370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6" t="s">
        <v>370</v>
      </c>
      <c r="P341" s="2">
        <v>0</v>
      </c>
      <c r="Q341" s="2">
        <v>0</v>
      </c>
    </row>
    <row r="342" spans="1:17" x14ac:dyDescent="0.2">
      <c r="A342" s="1" t="s">
        <v>317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6" t="s">
        <v>370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6" t="s">
        <v>370</v>
      </c>
      <c r="P342" s="2">
        <v>0</v>
      </c>
      <c r="Q342" s="2">
        <v>0</v>
      </c>
    </row>
    <row r="343" spans="1:17" x14ac:dyDescent="0.2">
      <c r="H343" s="6" t="s">
        <v>370</v>
      </c>
      <c r="O343" s="6" t="s">
        <v>370</v>
      </c>
    </row>
    <row r="344" spans="1:17" x14ac:dyDescent="0.2">
      <c r="A344" s="1" t="s">
        <v>318</v>
      </c>
      <c r="B344" s="2">
        <v>0.99483539974437996</v>
      </c>
      <c r="C344" s="2">
        <v>0.99332873616133999</v>
      </c>
      <c r="D344" s="2">
        <v>0.994909671373152</v>
      </c>
      <c r="E344" s="2">
        <v>0.98352627624130096</v>
      </c>
      <c r="F344" s="2">
        <v>0.989533573540892</v>
      </c>
      <c r="G344" s="2">
        <v>0.98373319375453905</v>
      </c>
      <c r="H344" s="6">
        <f t="shared" si="14"/>
        <v>1.2599982516763015E-2</v>
      </c>
      <c r="I344" s="2">
        <v>0.940184910877366</v>
      </c>
      <c r="J344" s="2">
        <v>0.954606983475489</v>
      </c>
      <c r="K344" s="2">
        <v>0.95871925584096596</v>
      </c>
      <c r="L344" s="2">
        <v>0.93807728655711897</v>
      </c>
      <c r="M344" s="2">
        <v>0.92618602621461499</v>
      </c>
      <c r="N344" s="2">
        <v>0.92701041546529706</v>
      </c>
      <c r="O344" s="6">
        <f t="shared" si="15"/>
        <v>3.8041856169608021E-2</v>
      </c>
      <c r="P344" s="2">
        <v>0.96196811937793203</v>
      </c>
      <c r="Q344" s="2">
        <v>0.96642025174550805</v>
      </c>
    </row>
    <row r="345" spans="1:17" x14ac:dyDescent="0.2">
      <c r="A345" s="1" t="s">
        <v>319</v>
      </c>
      <c r="B345" s="2">
        <v>0</v>
      </c>
      <c r="C345" s="2">
        <v>0</v>
      </c>
      <c r="D345" s="2">
        <v>0</v>
      </c>
      <c r="E345" s="2">
        <v>2.4739993884738201E-3</v>
      </c>
      <c r="F345" s="2">
        <v>0</v>
      </c>
      <c r="G345" s="2">
        <v>2.91818471731977E-4</v>
      </c>
      <c r="H345" s="6">
        <f t="shared" si="14"/>
        <v>0.30299838916051502</v>
      </c>
      <c r="I345" s="2">
        <v>0</v>
      </c>
      <c r="J345" s="2">
        <v>0</v>
      </c>
      <c r="K345" s="2">
        <v>0</v>
      </c>
      <c r="L345" s="2">
        <v>3.64786431352091E-3</v>
      </c>
      <c r="M345" s="2">
        <v>2.9503808976675898E-3</v>
      </c>
      <c r="N345" s="2">
        <v>5.4206111761914396E-4</v>
      </c>
      <c r="O345" s="6">
        <f t="shared" si="15"/>
        <v>6.4676941745934496E-2</v>
      </c>
      <c r="P345" s="2">
        <v>0</v>
      </c>
      <c r="Q345" s="2">
        <v>0</v>
      </c>
    </row>
    <row r="346" spans="1:17" x14ac:dyDescent="0.2">
      <c r="A346" s="1" t="s">
        <v>320</v>
      </c>
      <c r="B346" s="2">
        <v>5.1646002556197399E-3</v>
      </c>
      <c r="C346" s="2">
        <v>6.6712638386597599E-3</v>
      </c>
      <c r="D346" s="2">
        <v>5.0903286268482199E-3</v>
      </c>
      <c r="E346" s="2">
        <v>1.3416091678935101E-2</v>
      </c>
      <c r="F346" s="2">
        <v>1.0466426459108001E-2</v>
      </c>
      <c r="G346" s="2">
        <v>1.5974987773728799E-2</v>
      </c>
      <c r="H346" s="6">
        <f t="shared" si="14"/>
        <v>1.0264717766893762E-2</v>
      </c>
      <c r="I346" s="2">
        <v>1.1012696258293301E-2</v>
      </c>
      <c r="J346" s="2">
        <v>8.3660345368665994E-3</v>
      </c>
      <c r="K346" s="2">
        <v>7.5908336671921999E-3</v>
      </c>
      <c r="L346" s="2">
        <v>1.6257229024634601E-2</v>
      </c>
      <c r="M346" s="2">
        <v>1.9548164564650899E-2</v>
      </c>
      <c r="N346" s="2">
        <v>1.8575441419805799E-2</v>
      </c>
      <c r="O346" s="6">
        <f t="shared" si="15"/>
        <v>3.0266023762257912E-3</v>
      </c>
      <c r="P346" s="2">
        <v>1.23175742305539E-2</v>
      </c>
      <c r="Q346" s="2">
        <v>9.9636237085483498E-3</v>
      </c>
    </row>
    <row r="347" spans="1:17" x14ac:dyDescent="0.2">
      <c r="A347" s="1" t="s">
        <v>321</v>
      </c>
      <c r="B347" s="2">
        <v>0</v>
      </c>
      <c r="C347" s="2">
        <v>0</v>
      </c>
      <c r="D347" s="2">
        <v>0</v>
      </c>
      <c r="E347" s="2">
        <v>5.8363269129046904E-4</v>
      </c>
      <c r="F347" s="2">
        <v>0</v>
      </c>
      <c r="G347" s="2">
        <v>0</v>
      </c>
      <c r="H347" s="6">
        <f t="shared" si="14"/>
        <v>0.37390096630005903</v>
      </c>
      <c r="I347" s="2">
        <v>2.7141940047113902E-3</v>
      </c>
      <c r="J347" s="2">
        <v>1.0150326185410299E-3</v>
      </c>
      <c r="K347" s="2">
        <v>1.6075667423936901E-3</v>
      </c>
      <c r="L347" s="2">
        <v>1.2221438511685E-3</v>
      </c>
      <c r="M347" s="2">
        <v>1.4717546709041201E-3</v>
      </c>
      <c r="N347" s="2">
        <v>1.63112524223493E-3</v>
      </c>
      <c r="O347" s="6">
        <f t="shared" si="15"/>
        <v>0.54604199228234007</v>
      </c>
      <c r="P347" s="2">
        <v>0</v>
      </c>
      <c r="Q347" s="2">
        <v>8.6381231358534198E-4</v>
      </c>
    </row>
    <row r="348" spans="1:17" x14ac:dyDescent="0.2">
      <c r="A348" s="1" t="s">
        <v>322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6" t="s">
        <v>370</v>
      </c>
      <c r="I348" s="2">
        <v>4.6088198859629802E-2</v>
      </c>
      <c r="J348" s="2">
        <v>3.6011949369103298E-2</v>
      </c>
      <c r="K348" s="2">
        <v>3.2082343749448197E-2</v>
      </c>
      <c r="L348" s="2">
        <v>4.0795476253556701E-2</v>
      </c>
      <c r="M348" s="2">
        <v>4.98436736521621E-2</v>
      </c>
      <c r="N348" s="2">
        <v>5.22409567550432E-2</v>
      </c>
      <c r="O348" s="6" t="s">
        <v>370</v>
      </c>
      <c r="P348" s="2">
        <v>2.5714306391513699E-2</v>
      </c>
      <c r="Q348" s="2">
        <v>2.2752312232358698E-2</v>
      </c>
    </row>
    <row r="349" spans="1:17" x14ac:dyDescent="0.2">
      <c r="H349" s="6" t="s">
        <v>370</v>
      </c>
      <c r="O349" s="6" t="e">
        <f t="shared" si="15"/>
        <v>#DIV/0!</v>
      </c>
    </row>
    <row r="350" spans="1:17" x14ac:dyDescent="0.2">
      <c r="A350" s="1" t="s">
        <v>323</v>
      </c>
      <c r="B350" s="2">
        <v>0.83209125121829497</v>
      </c>
      <c r="C350" s="2">
        <v>0.82100315245748401</v>
      </c>
      <c r="D350" s="2">
        <v>0.83019822946527899</v>
      </c>
      <c r="E350" s="2">
        <v>0.83649273134013502</v>
      </c>
      <c r="F350" s="2">
        <v>0.85711943752154596</v>
      </c>
      <c r="G350" s="2">
        <v>0.843834692353856</v>
      </c>
      <c r="H350" s="6">
        <f t="shared" si="14"/>
        <v>5.997918816051382E-2</v>
      </c>
      <c r="I350" s="2">
        <v>0.81185649698616802</v>
      </c>
      <c r="J350" s="2">
        <v>0.79399960102402201</v>
      </c>
      <c r="K350" s="2">
        <v>0.78556275139316001</v>
      </c>
      <c r="L350" s="2">
        <v>0.82399585638577499</v>
      </c>
      <c r="M350" s="2">
        <v>0.812448755945817</v>
      </c>
      <c r="N350" s="2">
        <v>0.82380577477482697</v>
      </c>
      <c r="O350" s="6">
        <f t="shared" si="15"/>
        <v>5.6657539394376996E-2</v>
      </c>
      <c r="P350" s="2">
        <v>0.83867748081300397</v>
      </c>
      <c r="Q350" s="2">
        <v>0.82532085505654595</v>
      </c>
    </row>
    <row r="351" spans="1:17" x14ac:dyDescent="0.2">
      <c r="A351" s="1" t="s">
        <v>324</v>
      </c>
      <c r="B351" s="2">
        <v>0</v>
      </c>
      <c r="C351" s="2">
        <v>2.7450539308510599E-2</v>
      </c>
      <c r="D351" s="2">
        <v>1.7946137622513798E-2</v>
      </c>
      <c r="E351" s="2">
        <v>0</v>
      </c>
      <c r="F351" s="2">
        <v>6.8790857655540699E-3</v>
      </c>
      <c r="G351" s="2">
        <v>9.0424220162982107E-3</v>
      </c>
      <c r="H351" s="6">
        <f t="shared" si="14"/>
        <v>0.31193580522458081</v>
      </c>
      <c r="I351" s="2">
        <v>9.3206843903096401E-2</v>
      </c>
      <c r="J351" s="2">
        <v>0.10490831684322</v>
      </c>
      <c r="K351" s="2">
        <v>0.119424442464397</v>
      </c>
      <c r="L351" s="2">
        <v>9.2005416129453205E-2</v>
      </c>
      <c r="M351" s="2">
        <v>9.9762028492345403E-2</v>
      </c>
      <c r="N351" s="2">
        <v>9.1771260046837902E-2</v>
      </c>
      <c r="O351" s="6">
        <f t="shared" si="15"/>
        <v>0.23070127810818544</v>
      </c>
      <c r="P351" s="2">
        <v>5.3644385834282202E-2</v>
      </c>
      <c r="Q351" s="2">
        <v>6.2625417924661503E-2</v>
      </c>
    </row>
    <row r="352" spans="1:17" x14ac:dyDescent="0.2">
      <c r="A352" s="1" t="s">
        <v>325</v>
      </c>
      <c r="B352" s="2">
        <v>3.40704896724182E-2</v>
      </c>
      <c r="C352" s="2">
        <v>3.9399907667762399E-2</v>
      </c>
      <c r="D352" s="2">
        <v>4.9113433273191898E-2</v>
      </c>
      <c r="E352" s="2">
        <v>5.0250864616535898E-2</v>
      </c>
      <c r="F352" s="2">
        <v>4.0369589943538897E-2</v>
      </c>
      <c r="G352" s="2">
        <v>4.1190247753602603E-2</v>
      </c>
      <c r="H352" s="6">
        <f t="shared" si="14"/>
        <v>0.60096029646531979</v>
      </c>
      <c r="I352" s="2">
        <v>2.6599139062529399E-2</v>
      </c>
      <c r="J352" s="2">
        <v>2.9224595048533499E-2</v>
      </c>
      <c r="K352" s="2">
        <v>3.7864271475610299E-2</v>
      </c>
      <c r="L352" s="2">
        <v>3.4655335788361503E-2</v>
      </c>
      <c r="M352" s="2">
        <v>3.03714972341265E-2</v>
      </c>
      <c r="N352" s="2">
        <v>3.0217966951061302E-2</v>
      </c>
      <c r="O352" s="6">
        <f t="shared" si="15"/>
        <v>0.89525802715973535</v>
      </c>
      <c r="P352" s="2">
        <v>3.25151502892203E-2</v>
      </c>
      <c r="Q352" s="2">
        <v>3.4035095443723802E-2</v>
      </c>
    </row>
    <row r="353" spans="1:17" x14ac:dyDescent="0.2">
      <c r="A353" s="1" t="s">
        <v>326</v>
      </c>
      <c r="B353" s="2">
        <v>4.52008742223673E-2</v>
      </c>
      <c r="C353" s="2">
        <v>4.4300505760230501E-2</v>
      </c>
      <c r="D353" s="2">
        <v>3.2850622134225502E-2</v>
      </c>
      <c r="E353" s="2">
        <v>4.2494635447091901E-2</v>
      </c>
      <c r="F353" s="2">
        <v>3.6888343810103599E-2</v>
      </c>
      <c r="G353" s="2">
        <v>4.6510916869352902E-2</v>
      </c>
      <c r="H353" s="6">
        <f t="shared" si="14"/>
        <v>0.8198941686135317</v>
      </c>
      <c r="I353" s="2">
        <v>2.78723034329364E-2</v>
      </c>
      <c r="J353" s="2">
        <v>2.97591312830475E-2</v>
      </c>
      <c r="K353" s="2">
        <v>2.3570560754400699E-2</v>
      </c>
      <c r="L353" s="2">
        <v>1.6694504573621798E-2</v>
      </c>
      <c r="M353" s="2">
        <v>2.3072963441208998E-2</v>
      </c>
      <c r="N353" s="2">
        <v>9.8899402980699193E-3</v>
      </c>
      <c r="O353" s="6" t="s">
        <v>370</v>
      </c>
      <c r="P353" s="2">
        <v>2.5870386265793601E-2</v>
      </c>
      <c r="Q353" s="2">
        <v>2.93069719583713E-2</v>
      </c>
    </row>
    <row r="354" spans="1:17" x14ac:dyDescent="0.2">
      <c r="A354" s="1" t="s">
        <v>327</v>
      </c>
      <c r="B354" s="2">
        <v>1.76617508427638E-2</v>
      </c>
      <c r="C354" s="2">
        <v>1.1840228645574999E-2</v>
      </c>
      <c r="D354" s="2">
        <v>0</v>
      </c>
      <c r="E354" s="2">
        <v>8.3192034232891007E-3</v>
      </c>
      <c r="F354" s="2">
        <v>0</v>
      </c>
      <c r="G354" s="2">
        <v>0</v>
      </c>
      <c r="H354" s="6">
        <f t="shared" si="14"/>
        <v>0.29676231610389014</v>
      </c>
      <c r="I354" s="2">
        <v>2.4595881353969899E-2</v>
      </c>
      <c r="J354" s="2">
        <v>2.8218443196011099E-2</v>
      </c>
      <c r="K354" s="2">
        <v>2.2205333052302101E-2</v>
      </c>
      <c r="L354" s="2">
        <v>2.36236931995033E-2</v>
      </c>
      <c r="M354" s="2">
        <v>2.6082476462087199E-2</v>
      </c>
      <c r="N354" s="2">
        <v>2.4985747165515999E-2</v>
      </c>
      <c r="O354" s="6" t="s">
        <v>370</v>
      </c>
      <c r="P354" s="2">
        <v>1.4572090162726399E-2</v>
      </c>
      <c r="Q354" s="2">
        <v>2.0272871019512501E-2</v>
      </c>
    </row>
    <row r="355" spans="1:17" x14ac:dyDescent="0.2">
      <c r="A355" s="1" t="s">
        <v>328</v>
      </c>
      <c r="B355" s="2">
        <v>7.0975634044155703E-2</v>
      </c>
      <c r="C355" s="2">
        <v>5.60056661604377E-2</v>
      </c>
      <c r="D355" s="2">
        <v>6.9891577504789498E-2</v>
      </c>
      <c r="E355" s="2">
        <v>6.2442565172948501E-2</v>
      </c>
      <c r="F355" s="2">
        <v>5.8743542959258002E-2</v>
      </c>
      <c r="G355" s="2">
        <v>5.9421721006890402E-2</v>
      </c>
      <c r="H355" s="6">
        <f t="shared" si="14"/>
        <v>0.33506597635192198</v>
      </c>
      <c r="I355" s="2">
        <v>1.58693352612999E-2</v>
      </c>
      <c r="J355" s="2">
        <v>1.38899126051649E-2</v>
      </c>
      <c r="K355" s="2">
        <v>1.13726408601303E-2</v>
      </c>
      <c r="L355" s="2">
        <v>9.0251939232849198E-3</v>
      </c>
      <c r="M355" s="2">
        <v>8.2622784244150392E-3</v>
      </c>
      <c r="N355" s="2">
        <v>1.9329310763687699E-2</v>
      </c>
      <c r="O355" s="6" t="s">
        <v>370</v>
      </c>
      <c r="P355" s="2">
        <v>3.4720506634973398E-2</v>
      </c>
      <c r="Q355" s="2">
        <v>2.8438788597184999E-2</v>
      </c>
    </row>
    <row r="356" spans="1:17" x14ac:dyDescent="0.2">
      <c r="A356" s="1" t="s">
        <v>329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6" t="s">
        <v>370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6" t="s">
        <v>370</v>
      </c>
      <c r="P356" s="2">
        <v>0</v>
      </c>
      <c r="Q356" s="2">
        <v>0</v>
      </c>
    </row>
    <row r="357" spans="1:17" x14ac:dyDescent="0.2">
      <c r="A357" s="1" t="s">
        <v>330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6" t="s">
        <v>370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6" t="s">
        <v>370</v>
      </c>
      <c r="P357" s="2">
        <v>0</v>
      </c>
      <c r="Q357" s="2">
        <v>0</v>
      </c>
    </row>
    <row r="358" spans="1:17" x14ac:dyDescent="0.2">
      <c r="A358" s="1" t="s">
        <v>331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6" t="s">
        <v>370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6" t="s">
        <v>370</v>
      </c>
      <c r="P358" s="2">
        <v>0</v>
      </c>
      <c r="Q358" s="2">
        <v>0</v>
      </c>
    </row>
    <row r="359" spans="1:17" x14ac:dyDescent="0.2">
      <c r="A359" s="1" t="s">
        <v>332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6" t="s">
        <v>370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6" t="s">
        <v>370</v>
      </c>
      <c r="P359" s="2">
        <v>0</v>
      </c>
      <c r="Q359" s="2">
        <v>0</v>
      </c>
    </row>
    <row r="360" spans="1:17" x14ac:dyDescent="0.2">
      <c r="H360" s="6" t="s">
        <v>370</v>
      </c>
      <c r="O360" s="6" t="s">
        <v>370</v>
      </c>
    </row>
    <row r="361" spans="1:17" x14ac:dyDescent="0.2">
      <c r="A361" s="1" t="s">
        <v>333</v>
      </c>
      <c r="B361" s="2">
        <v>0.40919700103977602</v>
      </c>
      <c r="C361" s="2">
        <v>0.43025463487531102</v>
      </c>
      <c r="D361" s="2">
        <v>0.43526386630401098</v>
      </c>
      <c r="E361" s="2">
        <v>0.45802518476642401</v>
      </c>
      <c r="F361" s="2">
        <v>0.46781573008859201</v>
      </c>
      <c r="G361" s="2">
        <v>0.462906564068226</v>
      </c>
      <c r="H361" s="6">
        <f t="shared" si="14"/>
        <v>1.0931701849658733E-2</v>
      </c>
      <c r="I361" s="2">
        <v>0.856438413253372</v>
      </c>
      <c r="J361" s="2">
        <v>0.85971779968298201</v>
      </c>
      <c r="K361" s="2">
        <v>0.85372263263734305</v>
      </c>
      <c r="L361" s="2">
        <v>0.85838654441576701</v>
      </c>
      <c r="M361" s="2">
        <v>0.87183778341885798</v>
      </c>
      <c r="N361" s="2">
        <v>0.86656617008219405</v>
      </c>
      <c r="O361" s="6" t="s">
        <v>370</v>
      </c>
      <c r="P361" s="2">
        <v>0.68366635046769997</v>
      </c>
      <c r="Q361" s="2">
        <v>0.67063659586561497</v>
      </c>
    </row>
    <row r="362" spans="1:17" x14ac:dyDescent="0.2">
      <c r="A362" s="1" t="s">
        <v>334</v>
      </c>
      <c r="B362" s="2">
        <v>1.6533451441127899E-2</v>
      </c>
      <c r="C362" s="2">
        <v>7.5834536803865904E-3</v>
      </c>
      <c r="D362" s="2">
        <v>7.6205399511557999E-3</v>
      </c>
      <c r="E362" s="2">
        <v>7.8035626519633696E-3</v>
      </c>
      <c r="F362" s="2">
        <v>9.4744047425579497E-3</v>
      </c>
      <c r="G362" s="2">
        <v>1.0075618687977199E-2</v>
      </c>
      <c r="H362" s="6">
        <f t="shared" si="14"/>
        <v>0.6572618674621844</v>
      </c>
      <c r="I362" s="2">
        <v>8.9115794346071794E-2</v>
      </c>
      <c r="J362" s="2">
        <v>9.1398634868942494E-2</v>
      </c>
      <c r="K362" s="2">
        <v>8.9656256147244595E-2</v>
      </c>
      <c r="L362" s="2">
        <v>9.3576044700050903E-2</v>
      </c>
      <c r="M362" s="2">
        <v>8.6941587086340297E-2</v>
      </c>
      <c r="N362" s="2">
        <v>8.9358415757618603E-2</v>
      </c>
      <c r="O362" s="6" t="s">
        <v>370</v>
      </c>
      <c r="P362" s="2">
        <v>4.8734677195033799E-2</v>
      </c>
      <c r="Q362" s="2">
        <v>5.7882933111539102E-2</v>
      </c>
    </row>
    <row r="363" spans="1:17" x14ac:dyDescent="0.2">
      <c r="A363" s="1" t="s">
        <v>335</v>
      </c>
      <c r="B363" s="2">
        <v>1.26796262524122E-2</v>
      </c>
      <c r="C363" s="2">
        <v>1.3292503202949E-2</v>
      </c>
      <c r="D363" s="2">
        <v>8.5733140568533695E-3</v>
      </c>
      <c r="E363" s="2">
        <v>7.7801939241974498E-3</v>
      </c>
      <c r="F363" s="2">
        <v>5.7812426938684503E-3</v>
      </c>
      <c r="G363" s="2">
        <v>6.4770912933021898E-3</v>
      </c>
      <c r="H363" s="6">
        <f t="shared" si="14"/>
        <v>3.8580638141335256E-2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6" t="s">
        <v>370</v>
      </c>
      <c r="P363" s="2">
        <v>0</v>
      </c>
      <c r="Q363" s="2">
        <v>9.5179222472433303E-4</v>
      </c>
    </row>
    <row r="364" spans="1:17" x14ac:dyDescent="0.2">
      <c r="A364" s="1" t="s">
        <v>336</v>
      </c>
      <c r="B364" s="2">
        <v>4.7086222851846597E-2</v>
      </c>
      <c r="C364" s="2">
        <v>4.5930996309609097E-2</v>
      </c>
      <c r="D364" s="2">
        <v>4.3872710618354398E-2</v>
      </c>
      <c r="E364" s="2">
        <v>4.1139637197161197E-2</v>
      </c>
      <c r="F364" s="2">
        <v>4.2827943054552099E-2</v>
      </c>
      <c r="G364" s="2">
        <v>4.0444009922222302E-2</v>
      </c>
      <c r="H364" s="6">
        <f t="shared" si="14"/>
        <v>2.4112769823601402E-2</v>
      </c>
      <c r="I364" s="2">
        <v>2.2946355691509601E-2</v>
      </c>
      <c r="J364" s="2">
        <v>1.9922433699590101E-2</v>
      </c>
      <c r="K364" s="2">
        <v>2.4974009305801001E-2</v>
      </c>
      <c r="L364" s="2">
        <v>2.1180362824129498E-2</v>
      </c>
      <c r="M364" s="2">
        <v>1.92380572453811E-2</v>
      </c>
      <c r="N364" s="2">
        <v>1.9889736662618202E-2</v>
      </c>
      <c r="O364" s="6">
        <f t="shared" si="15"/>
        <v>0.18596522262710841</v>
      </c>
      <c r="P364" s="2">
        <v>3.34528920009814E-2</v>
      </c>
      <c r="Q364" s="2">
        <v>3.6792550906978701E-2</v>
      </c>
    </row>
    <row r="365" spans="1:17" x14ac:dyDescent="0.2">
      <c r="A365" s="1" t="s">
        <v>337</v>
      </c>
      <c r="B365" s="2">
        <v>1.7771963726076201E-2</v>
      </c>
      <c r="C365" s="2">
        <v>1.5928406580070002E-2</v>
      </c>
      <c r="D365" s="2">
        <v>1.64879782118206E-2</v>
      </c>
      <c r="E365" s="2">
        <v>1.47318587368828E-2</v>
      </c>
      <c r="F365" s="2">
        <v>1.1715671280836599E-2</v>
      </c>
      <c r="G365" s="2">
        <v>1.1414722451821201E-2</v>
      </c>
      <c r="H365" s="6">
        <f t="shared" si="14"/>
        <v>2.6090261118574647E-2</v>
      </c>
      <c r="I365" s="2">
        <v>2.2758091422060402E-2</v>
      </c>
      <c r="J365" s="2">
        <v>2.1127438529098298E-2</v>
      </c>
      <c r="K365" s="2">
        <v>2.35777930747538E-2</v>
      </c>
      <c r="L365" s="2">
        <v>1.9558004569216698E-2</v>
      </c>
      <c r="M365" s="2">
        <v>1.64091550906235E-2</v>
      </c>
      <c r="N365" s="2">
        <v>1.78454593129064E-2</v>
      </c>
      <c r="O365" s="6">
        <f t="shared" si="15"/>
        <v>1.7239545124789334E-2</v>
      </c>
      <c r="P365" s="2">
        <v>1.6762832724595299E-2</v>
      </c>
      <c r="Q365" s="2">
        <v>1.85495236722098E-2</v>
      </c>
    </row>
    <row r="366" spans="1:17" x14ac:dyDescent="0.2">
      <c r="A366" s="1" t="s">
        <v>338</v>
      </c>
      <c r="B366" s="2">
        <v>4.3044486534401898E-2</v>
      </c>
      <c r="C366" s="2">
        <v>4.2982928850465903E-2</v>
      </c>
      <c r="D366" s="2">
        <v>4.1041628931075401E-2</v>
      </c>
      <c r="E366" s="2">
        <v>4.0136757770280897E-2</v>
      </c>
      <c r="F366" s="2">
        <v>3.9659960091060098E-2</v>
      </c>
      <c r="G366" s="2">
        <v>4.4176254109539299E-2</v>
      </c>
      <c r="H366" s="6">
        <f t="shared" si="14"/>
        <v>0.54839257197404823</v>
      </c>
      <c r="I366" s="2">
        <v>7.8896238940843605E-3</v>
      </c>
      <c r="J366" s="2">
        <v>7.3325852457311802E-3</v>
      </c>
      <c r="K366" s="2">
        <v>7.1592057550291001E-3</v>
      </c>
      <c r="L366" s="2">
        <v>7.2990434908358501E-3</v>
      </c>
      <c r="M366" s="2">
        <v>5.5734171587968999E-3</v>
      </c>
      <c r="N366" s="2">
        <v>5.7353098207425799E-3</v>
      </c>
      <c r="O366" s="6">
        <f t="shared" si="15"/>
        <v>0.10107804801833173</v>
      </c>
      <c r="P366" s="2">
        <v>2.0289285682717699E-2</v>
      </c>
      <c r="Q366" s="2">
        <v>2.23727120042434E-2</v>
      </c>
    </row>
    <row r="367" spans="1:17" x14ac:dyDescent="0.2">
      <c r="A367" s="1" t="s">
        <v>339</v>
      </c>
      <c r="B367" s="2">
        <v>0.36201322489674398</v>
      </c>
      <c r="C367" s="2">
        <v>0.36457048059362301</v>
      </c>
      <c r="D367" s="2">
        <v>0.36509463301793998</v>
      </c>
      <c r="E367" s="2">
        <v>0.35985355788392798</v>
      </c>
      <c r="F367" s="2">
        <v>0.35301510828658</v>
      </c>
      <c r="G367" s="2">
        <v>0.35249997541719602</v>
      </c>
      <c r="H367" s="6">
        <f t="shared" si="14"/>
        <v>2.6444298626266266E-2</v>
      </c>
      <c r="I367" s="2">
        <v>8.5172139290193305E-4</v>
      </c>
      <c r="J367" s="2">
        <v>5.0110797365612002E-4</v>
      </c>
      <c r="K367" s="2">
        <v>9.1010307982852898E-4</v>
      </c>
      <c r="L367" s="2">
        <v>0</v>
      </c>
      <c r="M367" s="2">
        <v>0</v>
      </c>
      <c r="N367" s="2">
        <v>6.0490836392033097E-4</v>
      </c>
      <c r="O367" s="6">
        <f t="shared" si="15"/>
        <v>8.153586033962143E-2</v>
      </c>
      <c r="P367" s="2">
        <v>0.16071089162805</v>
      </c>
      <c r="Q367" s="2">
        <v>0.160149352284471</v>
      </c>
    </row>
    <row r="368" spans="1:17" x14ac:dyDescent="0.2">
      <c r="A368" s="1" t="s">
        <v>340</v>
      </c>
      <c r="B368" s="2">
        <v>1.46617341413551E-2</v>
      </c>
      <c r="C368" s="2">
        <v>1.1083643656931401E-2</v>
      </c>
      <c r="D368" s="2">
        <v>1.17025933205547E-2</v>
      </c>
      <c r="E368" s="2">
        <v>9.1674606676271104E-3</v>
      </c>
      <c r="F368" s="2">
        <v>6.9643402606648398E-3</v>
      </c>
      <c r="G368" s="2">
        <v>1.1560624337093E-2</v>
      </c>
      <c r="H368" s="6">
        <f t="shared" si="14"/>
        <v>0.13273030626677049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6" t="s">
        <v>370</v>
      </c>
      <c r="P368" s="2">
        <v>5.4524727450418701E-3</v>
      </c>
      <c r="Q368" s="2">
        <v>5.8756186952154702E-3</v>
      </c>
    </row>
    <row r="369" spans="1:17" x14ac:dyDescent="0.2">
      <c r="A369" s="1" t="s">
        <v>341</v>
      </c>
      <c r="B369" s="2">
        <v>3.1168412637810498E-2</v>
      </c>
      <c r="C369" s="2">
        <v>2.87791056506129E-2</v>
      </c>
      <c r="D369" s="2">
        <v>3.1392114593963898E-2</v>
      </c>
      <c r="E369" s="2">
        <v>2.6818145549752901E-2</v>
      </c>
      <c r="F369" s="2">
        <v>2.63099181555854E-2</v>
      </c>
      <c r="G369" s="2">
        <v>2.7138065860764601E-2</v>
      </c>
      <c r="H369" s="6">
        <f t="shared" si="14"/>
        <v>1.3249427361547356E-2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6" t="s">
        <v>370</v>
      </c>
      <c r="P369" s="2">
        <v>1.24080125402527E-2</v>
      </c>
      <c r="Q369" s="2">
        <v>1.2158290534143201E-2</v>
      </c>
    </row>
    <row r="370" spans="1:17" x14ac:dyDescent="0.2">
      <c r="A370" s="1" t="s">
        <v>342</v>
      </c>
      <c r="B370" s="2">
        <v>2.0171922337713599E-2</v>
      </c>
      <c r="C370" s="2">
        <v>1.5340825864925E-2</v>
      </c>
      <c r="D370" s="2">
        <v>1.4804919715185799E-2</v>
      </c>
      <c r="E370" s="2">
        <v>1.3685453803089101E-2</v>
      </c>
      <c r="F370" s="2">
        <v>1.3956043720257201E-2</v>
      </c>
      <c r="G370" s="2">
        <v>1.09813664342848E-2</v>
      </c>
      <c r="H370" s="6">
        <f t="shared" si="14"/>
        <v>0.11666142658527666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6" t="s">
        <v>370</v>
      </c>
      <c r="P370" s="2">
        <v>7.3752587868241796E-3</v>
      </c>
      <c r="Q370" s="2">
        <v>5.5882126279917996E-3</v>
      </c>
    </row>
    <row r="371" spans="1:17" x14ac:dyDescent="0.2">
      <c r="A371" s="1" t="s">
        <v>343</v>
      </c>
      <c r="B371" s="2">
        <v>4.21228339814939E-3</v>
      </c>
      <c r="C371" s="2">
        <v>5.3374853341908801E-3</v>
      </c>
      <c r="D371" s="2">
        <v>5.1918088175743797E-3</v>
      </c>
      <c r="E371" s="2">
        <v>3.7389217595053402E-3</v>
      </c>
      <c r="F371" s="2">
        <v>4.0605646023075198E-3</v>
      </c>
      <c r="G371" s="2">
        <v>4.1360805994112501E-3</v>
      </c>
      <c r="H371" s="6">
        <f t="shared" si="14"/>
        <v>6.655700985457047E-2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6" t="s">
        <v>370</v>
      </c>
      <c r="P371" s="2">
        <v>1.5442842214978699E-3</v>
      </c>
      <c r="Q371" s="2">
        <v>1.0522799355575201E-3</v>
      </c>
    </row>
    <row r="372" spans="1:17" x14ac:dyDescent="0.2">
      <c r="A372" s="1" t="s">
        <v>344</v>
      </c>
      <c r="B372" s="2">
        <v>2.1311932915977098E-2</v>
      </c>
      <c r="C372" s="2">
        <v>1.795714660093E-2</v>
      </c>
      <c r="D372" s="2">
        <v>1.8515839148177698E-2</v>
      </c>
      <c r="E372" s="2">
        <v>1.6594066679562099E-2</v>
      </c>
      <c r="F372" s="2">
        <v>1.80780124564522E-2</v>
      </c>
      <c r="G372" s="2">
        <v>1.7281794961900201E-2</v>
      </c>
      <c r="H372" s="6">
        <f t="shared" si="14"/>
        <v>0.15848987331131476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6" t="s">
        <v>370</v>
      </c>
      <c r="P372" s="2">
        <v>9.6030420073048E-3</v>
      </c>
      <c r="Q372" s="2">
        <v>7.9901381373101207E-3</v>
      </c>
    </row>
    <row r="373" spans="1:17" x14ac:dyDescent="0.2">
      <c r="A373" s="1" t="s">
        <v>345</v>
      </c>
      <c r="B373" s="2">
        <v>1.47737826609629E-4</v>
      </c>
      <c r="C373" s="2">
        <v>6.0381252098455998E-4</v>
      </c>
      <c r="D373" s="2">
        <v>4.3805331333295099E-4</v>
      </c>
      <c r="E373" s="2">
        <v>5.2519860962600804E-4</v>
      </c>
      <c r="F373" s="2">
        <v>3.4106056668538603E-4</v>
      </c>
      <c r="G373" s="2">
        <v>9.0783185626137496E-4</v>
      </c>
      <c r="H373" s="6">
        <f t="shared" si="14"/>
        <v>0.41332001825955839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6" t="s">
        <v>370</v>
      </c>
      <c r="P373" s="2">
        <v>0</v>
      </c>
      <c r="Q373" s="2">
        <v>0</v>
      </c>
    </row>
    <row r="374" spans="1:17" x14ac:dyDescent="0.2">
      <c r="A374" s="1" t="s">
        <v>346</v>
      </c>
      <c r="B374" s="2">
        <v>0</v>
      </c>
      <c r="C374" s="2">
        <v>3.54576279010956E-4</v>
      </c>
      <c r="D374" s="2">
        <v>0</v>
      </c>
      <c r="E374" s="2">
        <v>0</v>
      </c>
      <c r="F374" s="2">
        <v>0</v>
      </c>
      <c r="G374" s="2">
        <v>0</v>
      </c>
      <c r="H374" s="6">
        <f t="shared" si="14"/>
        <v>0.37390096630005903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6" t="s">
        <v>370</v>
      </c>
      <c r="P374" s="2">
        <v>0</v>
      </c>
      <c r="Q374" s="2">
        <v>0</v>
      </c>
    </row>
    <row r="375" spans="1:17" x14ac:dyDescent="0.2">
      <c r="A375" s="1" t="s">
        <v>347</v>
      </c>
      <c r="B375" s="2">
        <v>0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6" t="s">
        <v>370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6" t="s">
        <v>370</v>
      </c>
      <c r="P375" s="2">
        <v>0</v>
      </c>
      <c r="Q375" s="2">
        <v>0</v>
      </c>
    </row>
    <row r="376" spans="1:17" x14ac:dyDescent="0.2">
      <c r="A376" s="1" t="s">
        <v>348</v>
      </c>
      <c r="B376" s="2">
        <v>0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6" t="s">
        <v>370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6" t="s">
        <v>370</v>
      </c>
      <c r="P376" s="2">
        <v>0</v>
      </c>
      <c r="Q376" s="2">
        <v>0</v>
      </c>
    </row>
    <row r="377" spans="1:17" x14ac:dyDescent="0.2">
      <c r="H377" s="6" t="s">
        <v>370</v>
      </c>
      <c r="O377" s="6" t="s">
        <v>370</v>
      </c>
    </row>
    <row r="378" spans="1:17" x14ac:dyDescent="0.2">
      <c r="A378" s="1" t="s">
        <v>349</v>
      </c>
      <c r="B378" s="2">
        <v>1</v>
      </c>
      <c r="C378" s="2">
        <v>1</v>
      </c>
      <c r="D378" s="2">
        <v>1</v>
      </c>
      <c r="E378" s="2">
        <v>1</v>
      </c>
      <c r="F378" s="2">
        <v>1</v>
      </c>
      <c r="G378" s="2">
        <v>1</v>
      </c>
      <c r="H378" s="6" t="s">
        <v>370</v>
      </c>
      <c r="I378" s="2">
        <v>0.88530516264232595</v>
      </c>
      <c r="J378" s="2">
        <v>0.92076885531735997</v>
      </c>
      <c r="K378" s="2">
        <v>1</v>
      </c>
      <c r="L378" s="2">
        <v>1</v>
      </c>
      <c r="M378" s="2">
        <v>0.88012048838916601</v>
      </c>
      <c r="N378" s="2">
        <v>1</v>
      </c>
      <c r="O378" s="6" t="s">
        <v>370</v>
      </c>
      <c r="P378" s="2">
        <v>1</v>
      </c>
      <c r="Q378" s="2">
        <v>1</v>
      </c>
    </row>
    <row r="379" spans="1:17" x14ac:dyDescent="0.2">
      <c r="A379" s="1" t="s">
        <v>350</v>
      </c>
      <c r="B379" s="2">
        <v>0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6" t="s">
        <v>370</v>
      </c>
      <c r="I379" s="2">
        <v>0.114694837357674</v>
      </c>
      <c r="J379" s="2">
        <v>7.9231144682640295E-2</v>
      </c>
      <c r="K379" s="2">
        <v>0</v>
      </c>
      <c r="L379" s="2">
        <v>0</v>
      </c>
      <c r="M379" s="2">
        <v>0.119879511610834</v>
      </c>
      <c r="N379" s="2">
        <v>0</v>
      </c>
      <c r="O379" s="6" t="s">
        <v>370</v>
      </c>
      <c r="P379" s="2">
        <v>0</v>
      </c>
      <c r="Q379" s="2">
        <v>0</v>
      </c>
    </row>
    <row r="380" spans="1:17" x14ac:dyDescent="0.2">
      <c r="A380" s="1" t="s">
        <v>351</v>
      </c>
      <c r="B380" s="2">
        <v>0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6" t="s">
        <v>370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6" t="s">
        <v>370</v>
      </c>
      <c r="P380" s="2">
        <v>0</v>
      </c>
      <c r="Q380" s="2">
        <v>0</v>
      </c>
    </row>
    <row r="381" spans="1:17" x14ac:dyDescent="0.2">
      <c r="A381" s="1" t="s">
        <v>352</v>
      </c>
      <c r="B381" s="2">
        <v>0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6" t="s">
        <v>370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6" t="s">
        <v>370</v>
      </c>
      <c r="P381" s="2">
        <v>0</v>
      </c>
      <c r="Q381" s="2">
        <v>0</v>
      </c>
    </row>
    <row r="382" spans="1:17" x14ac:dyDescent="0.2">
      <c r="A382" s="1" t="s">
        <v>353</v>
      </c>
      <c r="B382" s="2">
        <v>0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6" t="s">
        <v>370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6" t="s">
        <v>370</v>
      </c>
      <c r="P382" s="2">
        <v>0</v>
      </c>
      <c r="Q382" s="2">
        <v>0</v>
      </c>
    </row>
    <row r="383" spans="1:17" x14ac:dyDescent="0.2">
      <c r="A383" s="1" t="s">
        <v>354</v>
      </c>
      <c r="B383" s="2">
        <v>0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6" t="s">
        <v>370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6" t="s">
        <v>370</v>
      </c>
      <c r="P383" s="2">
        <v>0</v>
      </c>
      <c r="Q383" s="2">
        <v>0</v>
      </c>
    </row>
    <row r="384" spans="1:17" x14ac:dyDescent="0.2">
      <c r="A384" s="1" t="s">
        <v>355</v>
      </c>
      <c r="B384" s="2">
        <v>0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6" t="s">
        <v>370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6" t="s">
        <v>370</v>
      </c>
      <c r="P384" s="2">
        <v>0</v>
      </c>
      <c r="Q384" s="2">
        <v>0</v>
      </c>
    </row>
    <row r="385" spans="1:17" x14ac:dyDescent="0.2">
      <c r="A385" s="1" t="s">
        <v>356</v>
      </c>
      <c r="B385" s="2">
        <v>0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6" t="s">
        <v>370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6" t="s">
        <v>370</v>
      </c>
      <c r="P385" s="2">
        <v>0</v>
      </c>
      <c r="Q385" s="2">
        <v>0</v>
      </c>
    </row>
    <row r="386" spans="1:17" x14ac:dyDescent="0.2">
      <c r="A386" s="1" t="s">
        <v>357</v>
      </c>
      <c r="B386" s="2">
        <v>0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6" t="s">
        <v>370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6" t="s">
        <v>370</v>
      </c>
      <c r="P386" s="2">
        <v>0</v>
      </c>
      <c r="Q386" s="2">
        <v>0</v>
      </c>
    </row>
    <row r="387" spans="1:17" x14ac:dyDescent="0.2">
      <c r="A387" s="1" t="s">
        <v>358</v>
      </c>
      <c r="B387" s="2">
        <v>0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6" t="s">
        <v>370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6" t="s">
        <v>370</v>
      </c>
      <c r="P387" s="2">
        <v>0</v>
      </c>
      <c r="Q387" s="2">
        <v>0</v>
      </c>
    </row>
    <row r="388" spans="1:17" x14ac:dyDescent="0.2">
      <c r="H388" s="6" t="s">
        <v>370</v>
      </c>
      <c r="O388" s="6" t="s">
        <v>370</v>
      </c>
    </row>
    <row r="389" spans="1:17" x14ac:dyDescent="0.2">
      <c r="A389" s="1" t="s">
        <v>359</v>
      </c>
      <c r="B389" s="2">
        <v>0.845368795245942</v>
      </c>
      <c r="C389" s="2">
        <v>0.85012948634140795</v>
      </c>
      <c r="D389" s="2">
        <v>0.85287683690303695</v>
      </c>
      <c r="E389" s="2">
        <v>0.84518651223624497</v>
      </c>
      <c r="F389" s="2">
        <v>0.86003678954807306</v>
      </c>
      <c r="G389" s="2">
        <v>0.84836051848511096</v>
      </c>
      <c r="H389" s="6">
        <f t="shared" ref="H389:H396" si="16">TTEST(B389:D389,E389:G389,2,2)</f>
        <v>0.7468479694889929</v>
      </c>
      <c r="I389" s="2">
        <v>0.82131212802390996</v>
      </c>
      <c r="J389" s="2">
        <v>0.81308591021513998</v>
      </c>
      <c r="K389" s="2">
        <v>0.80659025536414397</v>
      </c>
      <c r="L389" s="2">
        <v>0.79456722593074403</v>
      </c>
      <c r="M389" s="2">
        <v>0.80678914058821505</v>
      </c>
      <c r="N389" s="2">
        <v>0.81248902607217599</v>
      </c>
      <c r="O389" s="6">
        <f t="shared" ref="O389:O394" si="17">TTEST(I389:K389,L389:N389,2,2)</f>
        <v>0.25348619895768137</v>
      </c>
      <c r="P389" s="2">
        <v>0.84671215175447201</v>
      </c>
      <c r="Q389" s="2">
        <v>0.84185087045588003</v>
      </c>
    </row>
    <row r="390" spans="1:17" x14ac:dyDescent="0.2">
      <c r="A390" s="1" t="s">
        <v>360</v>
      </c>
      <c r="B390" s="2">
        <v>3.4104437973868102E-4</v>
      </c>
      <c r="C390" s="2">
        <v>0</v>
      </c>
      <c r="D390" s="2">
        <v>8.5171374940135904E-4</v>
      </c>
      <c r="E390" s="2">
        <v>2.2255868625225398E-3</v>
      </c>
      <c r="F390" s="2">
        <v>0</v>
      </c>
      <c r="G390" s="2">
        <v>0</v>
      </c>
      <c r="H390" s="6">
        <f t="shared" si="16"/>
        <v>0.68252039512085094</v>
      </c>
      <c r="I390" s="2">
        <v>8.2826100158159194E-2</v>
      </c>
      <c r="J390" s="2">
        <v>9.2833675521846307E-2</v>
      </c>
      <c r="K390" s="2">
        <v>9.11608123489967E-2</v>
      </c>
      <c r="L390" s="2">
        <v>8.7957332293674306E-2</v>
      </c>
      <c r="M390" s="2">
        <v>8.2763331657173506E-2</v>
      </c>
      <c r="N390" s="2">
        <v>8.8364758649364397E-2</v>
      </c>
      <c r="O390" s="6">
        <f t="shared" si="17"/>
        <v>0.51143844086011037</v>
      </c>
      <c r="P390" s="2">
        <v>3.9848750859085097E-2</v>
      </c>
      <c r="Q390" s="2">
        <v>4.1748731896769101E-2</v>
      </c>
    </row>
    <row r="391" spans="1:17" x14ac:dyDescent="0.2">
      <c r="A391" s="1" t="s">
        <v>361</v>
      </c>
      <c r="B391" s="2">
        <v>4.0901189565011299E-2</v>
      </c>
      <c r="C391" s="2">
        <v>4.0290505979638999E-2</v>
      </c>
      <c r="D391" s="2">
        <v>4.4068524997256601E-2</v>
      </c>
      <c r="E391" s="2">
        <v>4.5712393584777099E-2</v>
      </c>
      <c r="F391" s="2">
        <v>4.0010206973543898E-2</v>
      </c>
      <c r="G391" s="2">
        <v>4.3641460846860901E-2</v>
      </c>
      <c r="H391" s="6">
        <f t="shared" si="16"/>
        <v>0.53860751903173743</v>
      </c>
      <c r="I391" s="2">
        <v>3.0932231727295E-2</v>
      </c>
      <c r="J391" s="2">
        <v>3.0878156798005499E-2</v>
      </c>
      <c r="K391" s="2">
        <v>3.3237314021483E-2</v>
      </c>
      <c r="L391" s="2">
        <v>2.9833829756599501E-2</v>
      </c>
      <c r="M391" s="2">
        <v>3.4375420841939203E-2</v>
      </c>
      <c r="N391" s="2">
        <v>3.4198997306198603E-2</v>
      </c>
      <c r="O391" s="6">
        <f t="shared" si="17"/>
        <v>0.54061349288908278</v>
      </c>
      <c r="P391" s="2">
        <v>3.26469952058916E-2</v>
      </c>
      <c r="Q391" s="2">
        <v>3.4955116088212397E-2</v>
      </c>
    </row>
    <row r="392" spans="1:17" x14ac:dyDescent="0.2">
      <c r="A392" s="1" t="s">
        <v>362</v>
      </c>
      <c r="B392" s="2">
        <v>4.3722678286837999E-2</v>
      </c>
      <c r="C392" s="2">
        <v>4.2006530252333502E-2</v>
      </c>
      <c r="D392" s="2">
        <v>3.8888696020584597E-2</v>
      </c>
      <c r="E392" s="2">
        <v>4.1834428847154499E-2</v>
      </c>
      <c r="F392" s="2">
        <v>3.9444010290518902E-2</v>
      </c>
      <c r="G392" s="2">
        <v>4.2133275825587999E-2</v>
      </c>
      <c r="H392" s="6">
        <f t="shared" si="16"/>
        <v>0.81958496771031442</v>
      </c>
      <c r="I392" s="2">
        <v>2.3752272492114899E-2</v>
      </c>
      <c r="J392" s="2">
        <v>2.23139012807087E-2</v>
      </c>
      <c r="K392" s="2">
        <v>2.5116705921107901E-2</v>
      </c>
      <c r="L392" s="2">
        <v>2.3092694519243701E-2</v>
      </c>
      <c r="M392" s="2">
        <v>1.81374657999522E-2</v>
      </c>
      <c r="N392" s="2">
        <v>2.3725685143586701E-2</v>
      </c>
      <c r="O392" s="6">
        <f t="shared" si="17"/>
        <v>0.34562280432952364</v>
      </c>
      <c r="P392" s="2">
        <v>3.2875681037376002E-2</v>
      </c>
      <c r="Q392" s="2">
        <v>3.05992697964994E-2</v>
      </c>
    </row>
    <row r="393" spans="1:17" x14ac:dyDescent="0.2">
      <c r="A393" s="1" t="s">
        <v>363</v>
      </c>
      <c r="B393" s="2">
        <v>1.0464588600765301E-2</v>
      </c>
      <c r="C393" s="2">
        <v>1.1621247393933999E-2</v>
      </c>
      <c r="D393" s="2">
        <v>9.2820346003841293E-3</v>
      </c>
      <c r="E393" s="2">
        <v>8.6013243928870792E-3</v>
      </c>
      <c r="F393" s="2">
        <v>7.9915899241059102E-3</v>
      </c>
      <c r="G393" s="2">
        <v>9.4087309069473008E-3</v>
      </c>
      <c r="H393" s="6">
        <f t="shared" si="16"/>
        <v>8.6337284673729489E-2</v>
      </c>
      <c r="I393" s="2">
        <v>3.0335473941879399E-2</v>
      </c>
      <c r="J393" s="2">
        <v>3.02782102917434E-2</v>
      </c>
      <c r="K393" s="2">
        <v>3.12312560847092E-2</v>
      </c>
      <c r="L393" s="2">
        <v>2.7455933577513501E-2</v>
      </c>
      <c r="M393" s="2">
        <v>2.5246331067395301E-2</v>
      </c>
      <c r="N393" s="2">
        <v>2.9943905949404499E-2</v>
      </c>
      <c r="O393" s="6">
        <f t="shared" si="17"/>
        <v>9.2287688630593431E-2</v>
      </c>
      <c r="P393" s="2">
        <v>1.8985537814117801E-2</v>
      </c>
      <c r="Q393" s="2">
        <v>2.1293137057074099E-2</v>
      </c>
    </row>
    <row r="394" spans="1:17" x14ac:dyDescent="0.2">
      <c r="A394" s="1" t="s">
        <v>364</v>
      </c>
      <c r="B394" s="2">
        <v>5.5172348203160998E-2</v>
      </c>
      <c r="C394" s="2">
        <v>5.25164302814283E-2</v>
      </c>
      <c r="D394" s="2">
        <v>5.0290469670787499E-2</v>
      </c>
      <c r="E394" s="2">
        <v>5.2825262507973703E-2</v>
      </c>
      <c r="F394" s="2">
        <v>4.9122566638818997E-2</v>
      </c>
      <c r="G394" s="2">
        <v>5.2819832886299198E-2</v>
      </c>
      <c r="H394" s="6">
        <f t="shared" si="16"/>
        <v>0.59841416449575746</v>
      </c>
      <c r="I394" s="2">
        <v>9.8641728404742605E-3</v>
      </c>
      <c r="J394" s="2">
        <v>9.8456360802830298E-3</v>
      </c>
      <c r="K394" s="2">
        <v>1.1554662897208801E-2</v>
      </c>
      <c r="L394" s="2">
        <v>3.7092983922224897E-2</v>
      </c>
      <c r="M394" s="2">
        <v>3.2688310045324902E-2</v>
      </c>
      <c r="N394" s="2">
        <v>1.0309429448844901E-2</v>
      </c>
      <c r="O394" s="6">
        <f t="shared" si="17"/>
        <v>0.12179692890005114</v>
      </c>
      <c r="P394" s="2">
        <v>2.7351082854545301E-2</v>
      </c>
      <c r="Q394" s="2">
        <v>2.8633381869755701E-2</v>
      </c>
    </row>
    <row r="395" spans="1:17" x14ac:dyDescent="0.2">
      <c r="A395" s="1" t="s">
        <v>365</v>
      </c>
      <c r="B395" s="2">
        <v>2.0012405615246602E-3</v>
      </c>
      <c r="C395" s="2">
        <v>2.1636345815332801E-3</v>
      </c>
      <c r="D395" s="2">
        <v>2.5670578704545702E-3</v>
      </c>
      <c r="E395" s="2">
        <v>2.1881341247862798E-3</v>
      </c>
      <c r="F395" s="2">
        <v>1.9831925624036102E-3</v>
      </c>
      <c r="G395" s="2">
        <v>1.9868500434540698E-3</v>
      </c>
      <c r="H395" s="6">
        <f t="shared" si="16"/>
        <v>0.35102896032705755</v>
      </c>
      <c r="I395" s="2">
        <v>9.7762081616722192E-4</v>
      </c>
      <c r="J395" s="2">
        <v>7.6450981227315696E-4</v>
      </c>
      <c r="K395" s="2">
        <v>1.10899336235052E-3</v>
      </c>
      <c r="L395" s="2">
        <v>0</v>
      </c>
      <c r="M395" s="2">
        <v>0</v>
      </c>
      <c r="N395" s="2">
        <v>9.6819743042517604E-4</v>
      </c>
      <c r="O395" s="6" t="s">
        <v>370</v>
      </c>
      <c r="P395" s="2">
        <v>1.5798004745125401E-3</v>
      </c>
      <c r="Q395" s="2">
        <v>9.1949283580897503E-4</v>
      </c>
    </row>
    <row r="396" spans="1:17" x14ac:dyDescent="0.2">
      <c r="A396" s="1" t="s">
        <v>366</v>
      </c>
      <c r="B396" s="2">
        <v>2.0281151570196001E-3</v>
      </c>
      <c r="C396" s="2">
        <v>1.27216516972392E-3</v>
      </c>
      <c r="D396" s="2">
        <v>1.1746661880936999E-3</v>
      </c>
      <c r="E396" s="2">
        <v>1.4263574436534101E-3</v>
      </c>
      <c r="F396" s="2">
        <v>1.41164406253537E-3</v>
      </c>
      <c r="G396" s="2">
        <v>1.64933100573968E-3</v>
      </c>
      <c r="H396" s="6">
        <f t="shared" si="16"/>
        <v>0.9889594369997966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6" t="s">
        <v>370</v>
      </c>
      <c r="P396" s="2">
        <v>0</v>
      </c>
      <c r="Q396" s="2">
        <v>0</v>
      </c>
    </row>
    <row r="397" spans="1:17" x14ac:dyDescent="0.2">
      <c r="A397" s="1" t="s">
        <v>367</v>
      </c>
      <c r="B397" s="2">
        <v>0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6" t="s">
        <v>370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6" t="s">
        <v>370</v>
      </c>
      <c r="P397" s="2">
        <v>0</v>
      </c>
      <c r="Q397" s="2">
        <v>0</v>
      </c>
    </row>
    <row r="398" spans="1:17" x14ac:dyDescent="0.2">
      <c r="A398" s="1" t="s">
        <v>368</v>
      </c>
      <c r="B398" s="2">
        <v>0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6" t="s">
        <v>370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6" t="s">
        <v>370</v>
      </c>
      <c r="P398" s="2">
        <v>0</v>
      </c>
      <c r="Q398" s="2">
        <v>0</v>
      </c>
    </row>
    <row r="399" spans="1:17" x14ac:dyDescent="0.2">
      <c r="A399" s="1" t="s">
        <v>390</v>
      </c>
      <c r="I399" s="1" t="s">
        <v>372</v>
      </c>
      <c r="J399" s="1" t="s">
        <v>373</v>
      </c>
      <c r="K399" s="1" t="s">
        <v>374</v>
      </c>
      <c r="L399" s="1" t="s">
        <v>375</v>
      </c>
      <c r="M399" s="1" t="s">
        <v>376</v>
      </c>
      <c r="N399" s="1" t="s">
        <v>377</v>
      </c>
      <c r="P399" s="1" t="s">
        <v>14</v>
      </c>
      <c r="Q399" s="1" t="s">
        <v>15</v>
      </c>
    </row>
    <row r="400" spans="1:17" x14ac:dyDescent="0.2">
      <c r="A400" s="1" t="s">
        <v>378</v>
      </c>
      <c r="I400" s="2">
        <v>0.48751640812484098</v>
      </c>
      <c r="J400" s="2">
        <v>0.52593128803356903</v>
      </c>
      <c r="K400" s="2">
        <v>0.54748223593925105</v>
      </c>
      <c r="L400" s="2">
        <v>0.485720774881922</v>
      </c>
      <c r="M400" s="2">
        <v>0.47103774151595101</v>
      </c>
      <c r="N400" s="2">
        <v>0.460608471227404</v>
      </c>
      <c r="P400" s="2">
        <v>0.69223466810746004</v>
      </c>
      <c r="Q400" s="2">
        <v>0.69089323644220002</v>
      </c>
    </row>
    <row r="401" spans="1:17" x14ac:dyDescent="0.2">
      <c r="A401" s="1" t="s">
        <v>82</v>
      </c>
      <c r="I401" s="2">
        <v>0.15515105642059801</v>
      </c>
      <c r="J401" s="2">
        <v>0.143475628732536</v>
      </c>
      <c r="K401" s="2">
        <v>0.13654025070425299</v>
      </c>
      <c r="L401" s="2">
        <v>0.15785909000193901</v>
      </c>
      <c r="M401" s="2">
        <v>0.16742642525315299</v>
      </c>
      <c r="N401" s="2">
        <v>0.166667421391891</v>
      </c>
      <c r="P401" s="2">
        <v>9.0524944925551701E-2</v>
      </c>
      <c r="Q401" s="2">
        <v>9.0731001548494603E-2</v>
      </c>
    </row>
    <row r="402" spans="1:17" x14ac:dyDescent="0.2">
      <c r="A402" s="1" t="s">
        <v>83</v>
      </c>
      <c r="I402" s="2">
        <v>3.8675866508996501E-2</v>
      </c>
      <c r="J402" s="2">
        <v>3.5806584603930998E-2</v>
      </c>
      <c r="K402" s="2">
        <v>3.7312459417683998E-2</v>
      </c>
      <c r="L402" s="2">
        <v>5.7031374319441802E-2</v>
      </c>
      <c r="M402" s="2">
        <v>5.9701719433134202E-2</v>
      </c>
      <c r="N402" s="2">
        <v>5.6898610384011901E-2</v>
      </c>
      <c r="P402" s="2">
        <v>4.6259555871262903E-2</v>
      </c>
      <c r="Q402" s="2">
        <v>4.3869635270601899E-2</v>
      </c>
    </row>
    <row r="403" spans="1:17" x14ac:dyDescent="0.2">
      <c r="A403" s="1" t="s">
        <v>84</v>
      </c>
      <c r="I403" s="2">
        <v>5.7617512615347102E-2</v>
      </c>
      <c r="J403" s="2">
        <v>5.2611283774265702E-2</v>
      </c>
      <c r="K403" s="2">
        <v>5.09076064038066E-2</v>
      </c>
      <c r="L403" s="2">
        <v>4.5187761312912397E-2</v>
      </c>
      <c r="M403" s="2">
        <v>4.4002494431305099E-2</v>
      </c>
      <c r="N403" s="2">
        <v>4.6243584922082401E-2</v>
      </c>
      <c r="P403" s="2">
        <v>3.1234596403446599E-2</v>
      </c>
      <c r="Q403" s="2">
        <v>3.21663950930055E-2</v>
      </c>
    </row>
    <row r="404" spans="1:17" x14ac:dyDescent="0.2">
      <c r="A404" s="1" t="s">
        <v>85</v>
      </c>
      <c r="I404" s="2">
        <v>0.18841949989534101</v>
      </c>
      <c r="J404" s="2">
        <v>0.174536644738602</v>
      </c>
      <c r="K404" s="2">
        <v>0.16586981019597999</v>
      </c>
      <c r="L404" s="2">
        <v>0.17939638797635099</v>
      </c>
      <c r="M404" s="2">
        <v>0.18207653451096101</v>
      </c>
      <c r="N404" s="2">
        <v>0.188254994679774</v>
      </c>
      <c r="P404" s="2">
        <v>9.8520725662382305E-2</v>
      </c>
      <c r="Q404" s="2">
        <v>9.9416465241756402E-2</v>
      </c>
    </row>
    <row r="405" spans="1:17" x14ac:dyDescent="0.2">
      <c r="A405" s="1" t="s">
        <v>379</v>
      </c>
      <c r="I405" s="2">
        <v>7.2619656434876501E-2</v>
      </c>
      <c r="J405" s="2">
        <v>6.7638570117096605E-2</v>
      </c>
      <c r="K405" s="2">
        <v>6.1887637339024401E-2</v>
      </c>
      <c r="L405" s="2">
        <v>7.4804611507433505E-2</v>
      </c>
      <c r="M405" s="2">
        <v>7.5755084855495702E-2</v>
      </c>
      <c r="N405" s="2">
        <v>8.1326917394836398E-2</v>
      </c>
      <c r="P405" s="2">
        <v>4.12255090298966E-2</v>
      </c>
      <c r="Q405" s="2">
        <v>4.2923266403941403E-2</v>
      </c>
    </row>
    <row r="407" spans="1:17" x14ac:dyDescent="0.2">
      <c r="A407" s="1" t="s">
        <v>380</v>
      </c>
      <c r="I407" s="2">
        <v>0.36369528866420497</v>
      </c>
      <c r="J407" s="2">
        <v>0.38614992115172497</v>
      </c>
      <c r="K407" s="2">
        <v>0.38898424646413698</v>
      </c>
      <c r="L407" s="2">
        <v>0.38423819552612198</v>
      </c>
      <c r="M407" s="2">
        <v>0.388016091122455</v>
      </c>
      <c r="N407" s="2">
        <v>0.37548271013985901</v>
      </c>
      <c r="P407" s="2">
        <v>0.61187079613583095</v>
      </c>
      <c r="Q407" s="2">
        <v>0.614208479235134</v>
      </c>
    </row>
    <row r="408" spans="1:17" x14ac:dyDescent="0.2">
      <c r="A408" s="1" t="s">
        <v>381</v>
      </c>
      <c r="I408" s="2">
        <v>0.14140017148026299</v>
      </c>
      <c r="J408" s="2">
        <v>0.139311004440131</v>
      </c>
      <c r="K408" s="2">
        <v>0.13519642291515899</v>
      </c>
      <c r="L408" s="2">
        <v>0.14771402055427801</v>
      </c>
      <c r="M408" s="2">
        <v>0.15147154640270799</v>
      </c>
      <c r="N408" s="2">
        <v>0.14969743050721299</v>
      </c>
      <c r="P408" s="2">
        <v>8.4934899217691998E-2</v>
      </c>
      <c r="Q408" s="2">
        <v>8.5629412702337704E-2</v>
      </c>
    </row>
    <row r="409" spans="1:17" x14ac:dyDescent="0.2">
      <c r="A409" s="1" t="s">
        <v>382</v>
      </c>
      <c r="I409" s="2">
        <v>1.3267112661058801E-2</v>
      </c>
      <c r="J409" s="2">
        <v>1.3646417757320299E-2</v>
      </c>
      <c r="K409" s="2">
        <v>1.40307566792197E-2</v>
      </c>
      <c r="L409" s="2">
        <v>2.08379698677542E-2</v>
      </c>
      <c r="M409" s="2">
        <v>2.1494611846741899E-2</v>
      </c>
      <c r="N409" s="2">
        <v>1.9789463978515401E-2</v>
      </c>
      <c r="P409" s="2">
        <v>3.4690940656675003E-2</v>
      </c>
      <c r="Q409" s="2">
        <v>3.4379884998330001E-2</v>
      </c>
    </row>
    <row r="410" spans="1:17" x14ac:dyDescent="0.2">
      <c r="A410" s="1" t="s">
        <v>383</v>
      </c>
      <c r="I410" s="2">
        <v>4.5788674717488598E-2</v>
      </c>
      <c r="J410" s="2">
        <v>4.7280305482746303E-2</v>
      </c>
      <c r="K410" s="2">
        <v>4.8266320554825902E-2</v>
      </c>
      <c r="L410" s="2">
        <v>6.9172852380776806E-2</v>
      </c>
      <c r="M410" s="2">
        <v>7.1460338628622194E-2</v>
      </c>
      <c r="N410" s="2">
        <v>6.79846198832115E-2</v>
      </c>
      <c r="P410" s="2">
        <v>3.4186239203313498E-2</v>
      </c>
      <c r="Q410" s="2">
        <v>3.4432801176378099E-2</v>
      </c>
    </row>
    <row r="411" spans="1:17" x14ac:dyDescent="0.2">
      <c r="A411" s="1" t="s">
        <v>384</v>
      </c>
      <c r="I411" s="2">
        <v>2.7943175247662599E-2</v>
      </c>
      <c r="J411" s="2">
        <v>2.7757851933721898E-2</v>
      </c>
      <c r="K411" s="2">
        <v>2.76871991492347E-2</v>
      </c>
      <c r="L411" s="2">
        <v>3.5344586525910701E-2</v>
      </c>
      <c r="M411" s="2">
        <v>3.6386540975177697E-2</v>
      </c>
      <c r="N411" s="2">
        <v>3.6204633773202301E-2</v>
      </c>
      <c r="P411" s="2">
        <v>1.8653870488074001E-2</v>
      </c>
      <c r="Q411" s="2">
        <v>1.9012303410950299E-2</v>
      </c>
    </row>
    <row r="412" spans="1:17" x14ac:dyDescent="0.2">
      <c r="A412" s="1" t="s">
        <v>385</v>
      </c>
      <c r="I412" s="2">
        <v>0.25501355544315901</v>
      </c>
      <c r="J412" s="2">
        <v>0.25185984306115999</v>
      </c>
      <c r="K412" s="2">
        <v>0.24676780197200399</v>
      </c>
      <c r="L412" s="2">
        <v>0.21059142614696999</v>
      </c>
      <c r="M412" s="2">
        <v>0.20785251111962899</v>
      </c>
      <c r="N412" s="2">
        <v>0.218006614920528</v>
      </c>
      <c r="P412" s="2">
        <v>0.133780252791868</v>
      </c>
      <c r="Q412" s="2">
        <v>0.13528342026091</v>
      </c>
    </row>
    <row r="413" spans="1:17" x14ac:dyDescent="0.2">
      <c r="A413" s="1" t="s">
        <v>386</v>
      </c>
      <c r="I413" s="2">
        <v>0.15289202178616301</v>
      </c>
      <c r="J413" s="2">
        <v>0.133994656173196</v>
      </c>
      <c r="K413" s="2">
        <v>0.13906725226541899</v>
      </c>
      <c r="L413" s="2">
        <v>0.132100948998188</v>
      </c>
      <c r="M413" s="2">
        <v>0.123318359904666</v>
      </c>
      <c r="N413" s="2">
        <v>0.13283452679746999</v>
      </c>
      <c r="P413" s="2">
        <v>8.1883001506546996E-2</v>
      </c>
      <c r="Q413" s="2">
        <v>7.7053698215959907E-2</v>
      </c>
    </row>
    <row r="415" spans="1:17" x14ac:dyDescent="0.2">
      <c r="A415" s="1" t="s">
        <v>210</v>
      </c>
      <c r="I415" s="2">
        <v>0.36728518933516702</v>
      </c>
      <c r="J415" s="2">
        <v>0.36212866072458499</v>
      </c>
      <c r="K415" s="2">
        <v>0.36639991466121202</v>
      </c>
      <c r="L415" s="2">
        <v>0.36386576790765002</v>
      </c>
      <c r="M415" s="2">
        <v>0.365686453535913</v>
      </c>
      <c r="N415" s="2">
        <v>0.36767839456767998</v>
      </c>
      <c r="P415" s="2">
        <v>0.53811942021113801</v>
      </c>
      <c r="Q415" s="2">
        <v>0.53378771025599103</v>
      </c>
    </row>
    <row r="416" spans="1:17" x14ac:dyDescent="0.2">
      <c r="A416" s="1" t="s">
        <v>211</v>
      </c>
      <c r="I416" s="2">
        <v>8.7836635086496295E-4</v>
      </c>
      <c r="J416" s="2">
        <v>1.7052934667275599E-3</v>
      </c>
      <c r="K416" s="2">
        <v>1.77174193756385E-3</v>
      </c>
      <c r="L416" s="2">
        <v>1.74465539221089E-3</v>
      </c>
      <c r="M416" s="2">
        <v>1.56181223107111E-3</v>
      </c>
      <c r="N416" s="2">
        <v>7.9530004453958402E-4</v>
      </c>
      <c r="P416" s="2">
        <v>2.0701169929566599E-3</v>
      </c>
      <c r="Q416" s="2">
        <v>2.8082713183032299E-3</v>
      </c>
    </row>
    <row r="417" spans="1:17" x14ac:dyDescent="0.2">
      <c r="A417" s="1" t="s">
        <v>212</v>
      </c>
      <c r="I417" s="2">
        <v>1.2571089973638499E-4</v>
      </c>
      <c r="J417" s="2">
        <v>3.3159672777663797E-4</v>
      </c>
      <c r="K417" s="2">
        <v>5.6129688281152004E-4</v>
      </c>
      <c r="L417" s="2">
        <v>4.9702135543370303E-4</v>
      </c>
      <c r="M417" s="2">
        <v>2.6438628250168098E-4</v>
      </c>
      <c r="N417" s="2">
        <v>5.3108606365826698E-4</v>
      </c>
      <c r="P417" s="2">
        <v>1.1171441243400301E-3</v>
      </c>
      <c r="Q417" s="2">
        <v>1.02045945814641E-3</v>
      </c>
    </row>
    <row r="418" spans="1:17" x14ac:dyDescent="0.2">
      <c r="A418" s="1" t="s">
        <v>213</v>
      </c>
      <c r="I418" s="2">
        <v>3.3907836627469399E-4</v>
      </c>
      <c r="J418" s="2">
        <v>3.0228479210490499E-4</v>
      </c>
      <c r="K418" s="2">
        <v>3.0715061427640899E-4</v>
      </c>
      <c r="L418" s="2">
        <v>3.24440225564078E-4</v>
      </c>
      <c r="M418" s="2">
        <v>3.4417878269451299E-4</v>
      </c>
      <c r="N418" s="2">
        <v>3.5814680864103098E-4</v>
      </c>
      <c r="P418" s="2">
        <v>2.5975775955771197E-4</v>
      </c>
      <c r="Q418" s="2">
        <v>2.5862142746480802E-4</v>
      </c>
    </row>
    <row r="419" spans="1:17" x14ac:dyDescent="0.2">
      <c r="A419" s="1" t="s">
        <v>214</v>
      </c>
      <c r="I419" s="2">
        <v>3.3434096255058099E-4</v>
      </c>
      <c r="J419" s="2">
        <v>2.90696329741693E-4</v>
      </c>
      <c r="K419" s="2">
        <v>2.6108900147126999E-4</v>
      </c>
      <c r="L419" s="2">
        <v>2.3138241817457499E-4</v>
      </c>
      <c r="M419" s="2">
        <v>2.8209977911754799E-4</v>
      </c>
      <c r="N419" s="2">
        <v>2.75631561555278E-4</v>
      </c>
      <c r="P419" s="2">
        <v>2.2267684400709701E-4</v>
      </c>
      <c r="Q419" s="2">
        <v>2.26912985630274E-4</v>
      </c>
    </row>
    <row r="420" spans="1:17" x14ac:dyDescent="0.2">
      <c r="A420" s="1" t="s">
        <v>215</v>
      </c>
      <c r="I420" s="2">
        <v>3.3423281804179899E-3</v>
      </c>
      <c r="J420" s="2">
        <v>3.0203658605746499E-3</v>
      </c>
      <c r="K420" s="2">
        <v>2.9532090832591201E-3</v>
      </c>
      <c r="L420" s="2">
        <v>2.6431295625069799E-3</v>
      </c>
      <c r="M420" s="2">
        <v>2.8084115484580999E-3</v>
      </c>
      <c r="N420" s="2">
        <v>2.73441935679908E-3</v>
      </c>
      <c r="P420" s="2">
        <v>2.1078133977660198E-3</v>
      </c>
      <c r="Q420" s="2">
        <v>2.1913937149449099E-3</v>
      </c>
    </row>
    <row r="421" spans="1:17" x14ac:dyDescent="0.2">
      <c r="A421" s="1" t="s">
        <v>387</v>
      </c>
      <c r="I421" s="2">
        <v>3.0491559487613201E-2</v>
      </c>
      <c r="J421" s="2">
        <v>3.0158764497144299E-2</v>
      </c>
      <c r="K421" s="2">
        <v>2.9971324662887201E-2</v>
      </c>
      <c r="L421" s="2">
        <v>2.9855897287484199E-2</v>
      </c>
      <c r="M421" s="2">
        <v>3.0308592521886699E-2</v>
      </c>
      <c r="N421" s="2">
        <v>2.95861220471869E-2</v>
      </c>
      <c r="P421" s="2">
        <v>2.1669461907865301E-2</v>
      </c>
      <c r="Q421" s="2">
        <v>2.2047711277698698E-2</v>
      </c>
    </row>
    <row r="422" spans="1:17" x14ac:dyDescent="0.2">
      <c r="A422" s="1" t="s">
        <v>388</v>
      </c>
      <c r="I422" s="2">
        <v>0.59720342641737501</v>
      </c>
      <c r="J422" s="2">
        <v>0.60206233760134598</v>
      </c>
      <c r="K422" s="2">
        <v>0.59777427315651799</v>
      </c>
      <c r="L422" s="2">
        <v>0.60083770585097496</v>
      </c>
      <c r="M422" s="2">
        <v>0.598744065318358</v>
      </c>
      <c r="N422" s="2">
        <v>0.59804089954994</v>
      </c>
      <c r="P422" s="2">
        <v>0.43443360876236897</v>
      </c>
      <c r="Q422" s="2">
        <v>0.43765891956182001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6AD3F-C39C-E149-B80B-407D6108B209}">
  <dimension ref="A1:B15"/>
  <sheetViews>
    <sheetView tabSelected="1" workbookViewId="0">
      <selection activeCell="C21" sqref="C21"/>
    </sheetView>
  </sheetViews>
  <sheetFormatPr baseColWidth="10" defaultRowHeight="15" x14ac:dyDescent="0.2"/>
  <cols>
    <col min="1" max="1" width="17.83203125" customWidth="1"/>
    <col min="2" max="2" width="26.1640625" customWidth="1"/>
  </cols>
  <sheetData>
    <row r="1" spans="1:2" x14ac:dyDescent="0.2">
      <c r="A1" s="1" t="s">
        <v>1</v>
      </c>
      <c r="B1" s="9" t="s">
        <v>391</v>
      </c>
    </row>
    <row r="2" spans="1:2" x14ac:dyDescent="0.2">
      <c r="A2" s="1" t="s">
        <v>2</v>
      </c>
      <c r="B2" s="9" t="s">
        <v>392</v>
      </c>
    </row>
    <row r="3" spans="1:2" x14ac:dyDescent="0.2">
      <c r="A3" s="1" t="s">
        <v>3</v>
      </c>
      <c r="B3" s="9" t="s">
        <v>392</v>
      </c>
    </row>
    <row r="4" spans="1:2" x14ac:dyDescent="0.2">
      <c r="A4" s="1" t="s">
        <v>4</v>
      </c>
      <c r="B4" s="9" t="s">
        <v>392</v>
      </c>
    </row>
    <row r="5" spans="1:2" x14ac:dyDescent="0.2">
      <c r="A5" s="1" t="s">
        <v>5</v>
      </c>
      <c r="B5" s="9" t="s">
        <v>393</v>
      </c>
    </row>
    <row r="6" spans="1:2" x14ac:dyDescent="0.2">
      <c r="A6" s="1" t="s">
        <v>6</v>
      </c>
      <c r="B6" s="9" t="s">
        <v>393</v>
      </c>
    </row>
    <row r="7" spans="1:2" x14ac:dyDescent="0.2">
      <c r="A7" s="1" t="s">
        <v>7</v>
      </c>
      <c r="B7" s="9" t="s">
        <v>393</v>
      </c>
    </row>
    <row r="8" spans="1:2" x14ac:dyDescent="0.2">
      <c r="A8" s="1" t="s">
        <v>8</v>
      </c>
      <c r="B8" s="9" t="s">
        <v>394</v>
      </c>
    </row>
    <row r="9" spans="1:2" x14ac:dyDescent="0.2">
      <c r="A9" s="1" t="s">
        <v>9</v>
      </c>
      <c r="B9" s="9" t="s">
        <v>394</v>
      </c>
    </row>
    <row r="10" spans="1:2" x14ac:dyDescent="0.2">
      <c r="A10" s="1" t="s">
        <v>10</v>
      </c>
      <c r="B10" s="9" t="s">
        <v>394</v>
      </c>
    </row>
    <row r="11" spans="1:2" x14ac:dyDescent="0.2">
      <c r="A11" s="1" t="s">
        <v>11</v>
      </c>
      <c r="B11" s="9" t="s">
        <v>395</v>
      </c>
    </row>
    <row r="12" spans="1:2" x14ac:dyDescent="0.2">
      <c r="A12" s="1" t="s">
        <v>12</v>
      </c>
      <c r="B12" s="9" t="s">
        <v>395</v>
      </c>
    </row>
    <row r="13" spans="1:2" x14ac:dyDescent="0.2">
      <c r="A13" s="1" t="s">
        <v>13</v>
      </c>
      <c r="B13" s="9" t="s">
        <v>395</v>
      </c>
    </row>
    <row r="14" spans="1:2" x14ac:dyDescent="0.2">
      <c r="A14" s="1" t="s">
        <v>14</v>
      </c>
      <c r="B14" s="9" t="s">
        <v>396</v>
      </c>
    </row>
    <row r="15" spans="1:2" x14ac:dyDescent="0.2">
      <c r="A15" s="1" t="s">
        <v>15</v>
      </c>
      <c r="B15" s="9" t="s">
        <v>396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 result</vt:lpstr>
      <vt:lpstr>percentage</vt:lpstr>
      <vt:lpstr>sample_info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 yanjie</cp:lastModifiedBy>
  <dcterms:created xsi:type="dcterms:W3CDTF">2025-11-11T08:16:00Z</dcterms:created>
  <dcterms:modified xsi:type="dcterms:W3CDTF">2026-02-13T12:04:16Z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35D28AF5AE0B451CAC5704E1E1877EC5_13</vt:lpwstr>
  </property>
  <property fmtid="{D5CDD505-2E9C-101B-9397-08002B2CF9AE}" pid="3" name="KSOProductBuildVer">
    <vt:lpwstr>2052-12.1.0.22529</vt:lpwstr>
  </property>
</Properties>
</file>